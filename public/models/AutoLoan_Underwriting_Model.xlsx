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e2a0c6f7417474/Desktop/Upwork/03.20.2026/"/>
    </mc:Choice>
  </mc:AlternateContent>
  <xr:revisionPtr revIDLastSave="0" documentId="14_{B6179D02-DBFF-451B-90B0-E15E58B9AE81}" xr6:coauthVersionLast="47" xr6:coauthVersionMax="47" xr10:uidLastSave="{00000000-0000-0000-0000-000000000000}"/>
  <workbookProtection workbookPassword="8E18" lockStructure="1"/>
  <bookViews>
    <workbookView xWindow="-110" yWindow="-110" windowWidth="25820" windowHeight="15500" tabRatio="500" xr2:uid="{00000000-000D-0000-FFFF-FFFF00000000}"/>
  </bookViews>
  <sheets>
    <sheet name="Underwriting Dashboard" sheetId="1" r:id="rId1"/>
    <sheet name="Amortization Schedul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3" i="2" l="1"/>
  <c r="E93" i="2"/>
  <c r="B93" i="2"/>
  <c r="H93" i="2" s="1"/>
  <c r="B92" i="2"/>
  <c r="B91" i="2"/>
  <c r="E91" i="2" s="1"/>
  <c r="B90" i="2"/>
  <c r="C90" i="2" s="1"/>
  <c r="B89" i="2"/>
  <c r="H89" i="2" s="1"/>
  <c r="D88" i="2"/>
  <c r="C88" i="2"/>
  <c r="B88" i="2"/>
  <c r="H88" i="2" s="1"/>
  <c r="H87" i="2"/>
  <c r="G87" i="2"/>
  <c r="F87" i="2"/>
  <c r="E87" i="2"/>
  <c r="B87" i="2"/>
  <c r="D87" i="2" s="1"/>
  <c r="G86" i="2"/>
  <c r="F86" i="2"/>
  <c r="B86" i="2"/>
  <c r="H86" i="2" s="1"/>
  <c r="B85" i="2"/>
  <c r="B84" i="2"/>
  <c r="G84" i="2" s="1"/>
  <c r="D83" i="2"/>
  <c r="C83" i="2"/>
  <c r="B83" i="2"/>
  <c r="H83" i="2" s="1"/>
  <c r="B82" i="2"/>
  <c r="H82" i="2" s="1"/>
  <c r="H81" i="2"/>
  <c r="G81" i="2"/>
  <c r="F81" i="2"/>
  <c r="E81" i="2"/>
  <c r="D81" i="2"/>
  <c r="B81" i="2"/>
  <c r="C81" i="2" s="1"/>
  <c r="H80" i="2"/>
  <c r="G80" i="2"/>
  <c r="F80" i="2"/>
  <c r="B80" i="2"/>
  <c r="E80" i="2" s="1"/>
  <c r="H79" i="2"/>
  <c r="G79" i="2"/>
  <c r="B79" i="2"/>
  <c r="F79" i="2" s="1"/>
  <c r="B78" i="2"/>
  <c r="D78" i="2" s="1"/>
  <c r="H77" i="2"/>
  <c r="G77" i="2"/>
  <c r="F77" i="2"/>
  <c r="E77" i="2"/>
  <c r="D77" i="2"/>
  <c r="C77" i="2"/>
  <c r="B77" i="2"/>
  <c r="F76" i="2"/>
  <c r="E76" i="2"/>
  <c r="D76" i="2"/>
  <c r="C76" i="2"/>
  <c r="B76" i="2"/>
  <c r="H76" i="2" s="1"/>
  <c r="B75" i="2"/>
  <c r="B74" i="2"/>
  <c r="E74" i="2" s="1"/>
  <c r="B73" i="2"/>
  <c r="H72" i="2"/>
  <c r="G72" i="2"/>
  <c r="B72" i="2"/>
  <c r="F72" i="2" s="1"/>
  <c r="D71" i="2"/>
  <c r="C71" i="2"/>
  <c r="B71" i="2"/>
  <c r="H70" i="2"/>
  <c r="G70" i="2"/>
  <c r="F70" i="2"/>
  <c r="E70" i="2"/>
  <c r="D70" i="2"/>
  <c r="B70" i="2"/>
  <c r="C70" i="2" s="1"/>
  <c r="B69" i="2"/>
  <c r="B68" i="2"/>
  <c r="B67" i="2"/>
  <c r="G67" i="2" s="1"/>
  <c r="B66" i="2"/>
  <c r="B65" i="2"/>
  <c r="G65" i="2" s="1"/>
  <c r="G64" i="2"/>
  <c r="F64" i="2"/>
  <c r="B64" i="2"/>
  <c r="B63" i="2"/>
  <c r="B62" i="2"/>
  <c r="B61" i="2"/>
  <c r="B60" i="2"/>
  <c r="B59" i="2"/>
  <c r="B58" i="2"/>
  <c r="B57" i="2"/>
  <c r="B56" i="2"/>
  <c r="G55" i="2"/>
  <c r="F55" i="2"/>
  <c r="B55" i="2"/>
  <c r="B54" i="2"/>
  <c r="G53" i="2"/>
  <c r="D54" i="2" s="1"/>
  <c r="F53" i="2"/>
  <c r="B53" i="2"/>
  <c r="B52" i="2"/>
  <c r="B51" i="2"/>
  <c r="B50" i="2"/>
  <c r="B49" i="2"/>
  <c r="G48" i="2"/>
  <c r="B48" i="2"/>
  <c r="F48" i="2" s="1"/>
  <c r="B47" i="2"/>
  <c r="B46" i="2"/>
  <c r="F45" i="2"/>
  <c r="B45" i="2"/>
  <c r="B44" i="2"/>
  <c r="G43" i="2"/>
  <c r="F43" i="2"/>
  <c r="B43" i="2"/>
  <c r="B42" i="2"/>
  <c r="F42" i="2" s="1"/>
  <c r="B41" i="2"/>
  <c r="B40" i="2"/>
  <c r="G39" i="2"/>
  <c r="F39" i="2"/>
  <c r="B39" i="2"/>
  <c r="G38" i="2"/>
  <c r="F38" i="2"/>
  <c r="B38" i="2"/>
  <c r="B37" i="2"/>
  <c r="B36" i="2"/>
  <c r="B35" i="2"/>
  <c r="B34" i="2"/>
  <c r="G33" i="2"/>
  <c r="F33" i="2"/>
  <c r="B33" i="2"/>
  <c r="B32" i="2"/>
  <c r="B31" i="2"/>
  <c r="B30" i="2"/>
  <c r="G29" i="2"/>
  <c r="F29" i="2"/>
  <c r="B29" i="2"/>
  <c r="B28" i="2"/>
  <c r="B27" i="2"/>
  <c r="B26" i="2"/>
  <c r="B25" i="2"/>
  <c r="G24" i="2"/>
  <c r="B24" i="2"/>
  <c r="F24" i="2" s="1"/>
  <c r="G23" i="2"/>
  <c r="F23" i="2"/>
  <c r="B23" i="2"/>
  <c r="B22" i="2"/>
  <c r="B21" i="2"/>
  <c r="B20" i="2"/>
  <c r="G19" i="2"/>
  <c r="F19" i="2"/>
  <c r="B19" i="2"/>
  <c r="B18" i="2"/>
  <c r="B17" i="2"/>
  <c r="B16" i="2"/>
  <c r="G15" i="2"/>
  <c r="F15" i="2"/>
  <c r="B15" i="2"/>
  <c r="G14" i="2"/>
  <c r="F14" i="2"/>
  <c r="B14" i="2"/>
  <c r="B13" i="2"/>
  <c r="B12" i="2"/>
  <c r="B11" i="2"/>
  <c r="B10" i="2"/>
  <c r="G7" i="2"/>
  <c r="F7" i="2"/>
  <c r="B7" i="2"/>
  <c r="F19" i="1"/>
  <c r="F16" i="1"/>
  <c r="F12" i="1"/>
  <c r="F11" i="1"/>
  <c r="F18" i="1" s="1"/>
  <c r="F8" i="1"/>
  <c r="F52" i="2" s="1"/>
  <c r="F7" i="1"/>
  <c r="F49" i="2" l="1"/>
  <c r="D49" i="2"/>
  <c r="H49" i="2" s="1"/>
  <c r="G54" i="2"/>
  <c r="D55" i="2" s="1"/>
  <c r="H55" i="2" s="1"/>
  <c r="F54" i="2"/>
  <c r="H54" i="2" s="1"/>
  <c r="H71" i="2"/>
  <c r="G71" i="2"/>
  <c r="G20" i="2"/>
  <c r="D21" i="2" s="1"/>
  <c r="F20" i="2"/>
  <c r="G66" i="2"/>
  <c r="D67" i="2" s="1"/>
  <c r="H67" i="2" s="1"/>
  <c r="F66" i="2"/>
  <c r="D66" i="2"/>
  <c r="H66" i="2" s="1"/>
  <c r="F11" i="2"/>
  <c r="G60" i="2"/>
  <c r="D61" i="2" s="1"/>
  <c r="H61" i="2" s="1"/>
  <c r="F71" i="2"/>
  <c r="F88" i="2"/>
  <c r="D11" i="2"/>
  <c r="H11" i="2" s="1"/>
  <c r="D20" i="2"/>
  <c r="H20" i="2" s="1"/>
  <c r="H45" i="2"/>
  <c r="G49" i="2"/>
  <c r="D50" i="2" s="1"/>
  <c r="H50" i="2" s="1"/>
  <c r="E54" i="2"/>
  <c r="F60" i="2"/>
  <c r="E71" i="2"/>
  <c r="F25" i="2"/>
  <c r="D25" i="2"/>
  <c r="H25" i="2" s="1"/>
  <c r="G30" i="2"/>
  <c r="F73" i="2"/>
  <c r="E73" i="2"/>
  <c r="D73" i="2"/>
  <c r="C73" i="2"/>
  <c r="G91" i="2"/>
  <c r="F21" i="2"/>
  <c r="H21" i="2" s="1"/>
  <c r="G45" i="2"/>
  <c r="D46" i="2" s="1"/>
  <c r="H46" i="2" s="1"/>
  <c r="F50" i="2"/>
  <c r="G73" i="2"/>
  <c r="F84" i="2"/>
  <c r="G16" i="2"/>
  <c r="G40" i="2"/>
  <c r="F62" i="2"/>
  <c r="C91" i="2"/>
  <c r="F12" i="2"/>
  <c r="H84" i="2"/>
  <c r="G17" i="2"/>
  <c r="G36" i="2"/>
  <c r="D37" i="2" s="1"/>
  <c r="H37" i="2" s="1"/>
  <c r="H85" i="2"/>
  <c r="G85" i="2"/>
  <c r="F85" i="2"/>
  <c r="E85" i="2"/>
  <c r="E32" i="2"/>
  <c r="G28" i="2"/>
  <c r="D29" i="2" s="1"/>
  <c r="H29" i="2" s="1"/>
  <c r="F32" i="2"/>
  <c r="G47" i="2"/>
  <c r="D48" i="2" s="1"/>
  <c r="H48" i="2" s="1"/>
  <c r="F57" i="2"/>
  <c r="G63" i="2"/>
  <c r="D64" i="2" s="1"/>
  <c r="H64" i="2" s="1"/>
  <c r="G74" i="2"/>
  <c r="H91" i="2"/>
  <c r="G78" i="2"/>
  <c r="H78" i="2"/>
  <c r="E78" i="2"/>
  <c r="G26" i="2"/>
  <c r="D27" i="2" s="1"/>
  <c r="H27" i="2" s="1"/>
  <c r="G62" i="2"/>
  <c r="D63" i="2" s="1"/>
  <c r="H63" i="2" s="1"/>
  <c r="D32" i="2"/>
  <c r="H32" i="2" s="1"/>
  <c r="F63" i="2"/>
  <c r="H23" i="2"/>
  <c r="D42" i="2"/>
  <c r="H42" i="2" s="1"/>
  <c r="F69" i="2"/>
  <c r="H69" i="2" s="1"/>
  <c r="H74" i="2"/>
  <c r="F92" i="2"/>
  <c r="E92" i="2"/>
  <c r="D92" i="2"/>
  <c r="H92" i="2"/>
  <c r="G92" i="2"/>
  <c r="C92" i="2"/>
  <c r="G88" i="2"/>
  <c r="G61" i="2"/>
  <c r="F61" i="2"/>
  <c r="G11" i="2"/>
  <c r="D30" i="2"/>
  <c r="H30" i="2" s="1"/>
  <c r="G90" i="2"/>
  <c r="F90" i="2"/>
  <c r="E90" i="2"/>
  <c r="D90" i="2"/>
  <c r="E50" i="2"/>
  <c r="C78" i="2"/>
  <c r="F30" i="2"/>
  <c r="E84" i="2"/>
  <c r="G21" i="2"/>
  <c r="G50" i="2"/>
  <c r="G31" i="2"/>
  <c r="G41" i="2"/>
  <c r="D74" i="2"/>
  <c r="F91" i="2"/>
  <c r="G18" i="2"/>
  <c r="D19" i="2" s="1"/>
  <c r="H19" i="2" s="1"/>
  <c r="G37" i="2"/>
  <c r="D38" i="2" s="1"/>
  <c r="H38" i="2" s="1"/>
  <c r="F37" i="2"/>
  <c r="E57" i="2"/>
  <c r="F74" i="2"/>
  <c r="H75" i="2"/>
  <c r="G75" i="2"/>
  <c r="F75" i="2"/>
  <c r="E75" i="2"/>
  <c r="D75" i="2"/>
  <c r="C75" i="2"/>
  <c r="D15" i="2"/>
  <c r="H15" i="2" s="1"/>
  <c r="D39" i="2"/>
  <c r="H39" i="2" s="1"/>
  <c r="D10" i="2"/>
  <c r="H10" i="2" s="1"/>
  <c r="G10" i="2"/>
  <c r="F10" i="2"/>
  <c r="C10" i="2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F34" i="2"/>
  <c r="G34" i="2"/>
  <c r="D35" i="2" s="1"/>
  <c r="H35" i="2" s="1"/>
  <c r="D34" i="2"/>
  <c r="H34" i="2" s="1"/>
  <c r="F35" i="2"/>
  <c r="G44" i="2"/>
  <c r="D45" i="2" s="1"/>
  <c r="E44" i="2"/>
  <c r="D44" i="2"/>
  <c r="H44" i="2" s="1"/>
  <c r="F44" i="2"/>
  <c r="E88" i="2"/>
  <c r="E55" i="2"/>
  <c r="G25" i="2"/>
  <c r="G35" i="2"/>
  <c r="C84" i="2"/>
  <c r="D16" i="2"/>
  <c r="H16" i="2" s="1"/>
  <c r="D40" i="2"/>
  <c r="H40" i="2" s="1"/>
  <c r="D84" i="2"/>
  <c r="F67" i="2"/>
  <c r="D12" i="2"/>
  <c r="H12" i="2" s="1"/>
  <c r="G56" i="2"/>
  <c r="D57" i="2" s="1"/>
  <c r="H57" i="2" s="1"/>
  <c r="H73" i="2"/>
  <c r="F31" i="2"/>
  <c r="F78" i="2"/>
  <c r="D22" i="2"/>
  <c r="H22" i="2" s="1"/>
  <c r="C74" i="2"/>
  <c r="G12" i="2"/>
  <c r="G52" i="2"/>
  <c r="D53" i="2" s="1"/>
  <c r="H53" i="2" s="1"/>
  <c r="G27" i="2"/>
  <c r="D28" i="2" s="1"/>
  <c r="F27" i="2"/>
  <c r="G22" i="2"/>
  <c r="F18" i="2"/>
  <c r="D26" i="2"/>
  <c r="F56" i="2"/>
  <c r="H90" i="2"/>
  <c r="F9" i="1"/>
  <c r="F16" i="2"/>
  <c r="E31" i="2"/>
  <c r="D36" i="2"/>
  <c r="H36" i="2" s="1"/>
  <c r="F40" i="2"/>
  <c r="E12" i="2"/>
  <c r="F26" i="2"/>
  <c r="H26" i="2" s="1"/>
  <c r="F36" i="2"/>
  <c r="H51" i="2"/>
  <c r="E51" i="2"/>
  <c r="G51" i="2"/>
  <c r="D52" i="2" s="1"/>
  <c r="H52" i="2" s="1"/>
  <c r="F51" i="2"/>
  <c r="D51" i="2"/>
  <c r="G68" i="2"/>
  <c r="D69" i="2" s="1"/>
  <c r="F68" i="2"/>
  <c r="D68" i="2"/>
  <c r="H68" i="2" s="1"/>
  <c r="D91" i="2"/>
  <c r="F46" i="2"/>
  <c r="F13" i="1"/>
  <c r="F22" i="2"/>
  <c r="G46" i="2"/>
  <c r="D47" i="2" s="1"/>
  <c r="H47" i="2" s="1"/>
  <c r="C85" i="2"/>
  <c r="G13" i="2"/>
  <c r="D14" i="2" s="1"/>
  <c r="H14" i="2" s="1"/>
  <c r="F13" i="2"/>
  <c r="G42" i="2"/>
  <c r="D43" i="2" s="1"/>
  <c r="H43" i="2" s="1"/>
  <c r="E42" i="2"/>
  <c r="D85" i="2"/>
  <c r="D13" i="2"/>
  <c r="H13" i="2" s="1"/>
  <c r="D18" i="2"/>
  <c r="H18" i="2" s="1"/>
  <c r="G32" i="2"/>
  <c r="D33" i="2" s="1"/>
  <c r="H33" i="2" s="1"/>
  <c r="G57" i="2"/>
  <c r="D23" i="2"/>
  <c r="F28" i="2"/>
  <c r="F47" i="2"/>
  <c r="G59" i="2"/>
  <c r="D60" i="2" s="1"/>
  <c r="H60" i="2" s="1"/>
  <c r="F59" i="2"/>
  <c r="H59" i="2" s="1"/>
  <c r="E59" i="2"/>
  <c r="D58" i="2"/>
  <c r="H58" i="2" s="1"/>
  <c r="C89" i="2"/>
  <c r="D17" i="2"/>
  <c r="H17" i="2" s="1"/>
  <c r="C82" i="2"/>
  <c r="D82" i="2"/>
  <c r="D41" i="2"/>
  <c r="H41" i="2" s="1"/>
  <c r="D65" i="2"/>
  <c r="E82" i="2"/>
  <c r="D89" i="2"/>
  <c r="D24" i="2"/>
  <c r="H24" i="2" s="1"/>
  <c r="E41" i="2"/>
  <c r="F58" i="2"/>
  <c r="E65" i="2"/>
  <c r="D72" i="2"/>
  <c r="C79" i="2"/>
  <c r="F82" i="2"/>
  <c r="E89" i="2"/>
  <c r="F17" i="2"/>
  <c r="F41" i="2"/>
  <c r="F89" i="2"/>
  <c r="C72" i="2"/>
  <c r="D31" i="2"/>
  <c r="G58" i="2"/>
  <c r="D59" i="2" s="1"/>
  <c r="F65" i="2"/>
  <c r="E72" i="2"/>
  <c r="D79" i="2"/>
  <c r="G82" i="2"/>
  <c r="C86" i="2"/>
  <c r="D62" i="2"/>
  <c r="H62" i="2" s="1"/>
  <c r="E79" i="2"/>
  <c r="D86" i="2"/>
  <c r="G89" i="2"/>
  <c r="C93" i="2"/>
  <c r="E86" i="2"/>
  <c r="D93" i="2"/>
  <c r="G69" i="2"/>
  <c r="E83" i="2"/>
  <c r="G93" i="2"/>
  <c r="G76" i="2"/>
  <c r="C80" i="2"/>
  <c r="F83" i="2"/>
  <c r="D80" i="2"/>
  <c r="G83" i="2"/>
  <c r="C87" i="2"/>
  <c r="D56" i="2"/>
  <c r="H56" i="2" s="1"/>
  <c r="E53" i="2" l="1"/>
  <c r="E38" i="2"/>
  <c r="E14" i="2"/>
  <c r="E63" i="2"/>
  <c r="E62" i="2"/>
  <c r="E28" i="2"/>
  <c r="E29" i="2"/>
  <c r="E19" i="2"/>
  <c r="E21" i="2"/>
  <c r="E49" i="2"/>
  <c r="E15" i="2"/>
  <c r="E69" i="2"/>
  <c r="E52" i="2"/>
  <c r="F10" i="1"/>
  <c r="F17" i="1" s="1"/>
  <c r="E22" i="1" s="1"/>
  <c r="E45" i="2"/>
  <c r="E39" i="2"/>
  <c r="E33" i="2"/>
  <c r="E64" i="2"/>
  <c r="C7" i="2"/>
  <c r="E43" i="2"/>
  <c r="E34" i="2"/>
  <c r="E23" i="2"/>
  <c r="E40" i="2"/>
  <c r="E11" i="2"/>
  <c r="E18" i="2"/>
  <c r="E36" i="2"/>
  <c r="E66" i="2"/>
  <c r="E46" i="2"/>
  <c r="E30" i="2"/>
  <c r="E56" i="2"/>
  <c r="E27" i="2"/>
  <c r="E17" i="2"/>
  <c r="H65" i="2"/>
  <c r="H31" i="2"/>
  <c r="E26" i="2"/>
  <c r="E20" i="2"/>
  <c r="E37" i="2"/>
  <c r="F94" i="2"/>
  <c r="E35" i="2"/>
  <c r="E25" i="2"/>
  <c r="E22" i="2"/>
  <c r="E47" i="2"/>
  <c r="E16" i="2"/>
  <c r="E48" i="2"/>
  <c r="E61" i="2"/>
  <c r="E58" i="2"/>
  <c r="E60" i="2"/>
  <c r="E68" i="2"/>
  <c r="E10" i="2"/>
  <c r="E67" i="2"/>
  <c r="G94" i="2"/>
  <c r="E13" i="2"/>
  <c r="E24" i="2"/>
  <c r="H28" i="2"/>
  <c r="E7" i="2" l="1"/>
  <c r="D7" i="2"/>
  <c r="E94" i="2"/>
</calcChain>
</file>

<file path=xl/sharedStrings.xml><?xml version="1.0" encoding="utf-8"?>
<sst xmlns="http://schemas.openxmlformats.org/spreadsheetml/2006/main" count="46" uniqueCount="45">
  <si>
    <t>AUTO LOAN UNDERWRITING MODEL</t>
  </si>
  <si>
    <t>Consumer Credit Risk Assessment  |  Quanthaven Labs LLC</t>
  </si>
  <si>
    <t>▸  BORROWER INPUTS</t>
  </si>
  <si>
    <t>▸  CALCULATED RISK METRICS</t>
  </si>
  <si>
    <t>Credit Score</t>
  </si>
  <si>
    <t>Loan Amount</t>
  </si>
  <si>
    <t>Annual Gross Income</t>
  </si>
  <si>
    <t>Monthly Interest Rate</t>
  </si>
  <si>
    <t>Monthly Non-Auto Debt Payments</t>
  </si>
  <si>
    <t>Est. Monthly Payment</t>
  </si>
  <si>
    <t>Vehicle Purchase Price</t>
  </si>
  <si>
    <t>Back-End DTI (incl. auto)</t>
  </si>
  <si>
    <t>Down Payment</t>
  </si>
  <si>
    <t>Loan-to-Value (LTV)</t>
  </si>
  <si>
    <t>Loan Term (Months)</t>
  </si>
  <si>
    <t>Credit Tier</t>
  </si>
  <si>
    <t>Annual Interest Rate (APR)</t>
  </si>
  <si>
    <t>Negative Equity at Funding?</t>
  </si>
  <si>
    <t>▸  LENDER POLICY THRESHOLDS  (editable)</t>
  </si>
  <si>
    <t>▸  APPROVAL SCORECARD</t>
  </si>
  <si>
    <t>Max Back-End DTI</t>
  </si>
  <si>
    <t>Credit Score Check</t>
  </si>
  <si>
    <t>Max LTV at Origination</t>
  </si>
  <si>
    <t>DTI Check</t>
  </si>
  <si>
    <t>Min Credit Score</t>
  </si>
  <si>
    <t>LTV Check</t>
  </si>
  <si>
    <t>Max Loan Term (Months)</t>
  </si>
  <si>
    <t>Loan Term Check</t>
  </si>
  <si>
    <t>▸  NOTES  (blue = input  |  black = formula)</t>
  </si>
  <si>
    <t>▸  OVERALL APPROVAL LIKELIHOOD</t>
  </si>
  <si>
    <t>LOAN AMORTIZATION SCHEDULE</t>
  </si>
  <si>
    <t>Driven by Underwriting Dashboard inputs  |  Quanthaven Labs LLC</t>
  </si>
  <si>
    <t>Monthly Payment</t>
  </si>
  <si>
    <t>Total Interest</t>
  </si>
  <si>
    <t>Total Cost</t>
  </si>
  <si>
    <t>APR</t>
  </si>
  <si>
    <t>Term</t>
  </si>
  <si>
    <t>#</t>
  </si>
  <si>
    <t>Payment Date</t>
  </si>
  <si>
    <t>Beginning Balance</t>
  </si>
  <si>
    <t>Payment</t>
  </si>
  <si>
    <t>Principal</t>
  </si>
  <si>
    <t>Interest</t>
  </si>
  <si>
    <t>Ending Balance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</si>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</sst>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00%"/>
    <numFmt numFmtId="166" formatCode="0.0%"/>
    <numFmt numFmtId="167" formatCode="\$#,##0.00"/>
  </numFmts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B8C4D8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172"/>
        <bgColor rgb="FF1B2A4A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D6E4F0"/>
        <bgColor rgb="FFC6EFCE"/>
      </patternFill>
    </fill>
  </fills>
  <borders count="7">
    <border>
      <left/>
      <right/>
      <top/>
      <bottom/>
      <diagonal/>
    </border>
    <border>
      <left style="thin">
        <color rgb="FFB0B8CC"/>
      </left>
      <right style="thin">
        <color rgb="FFB0B8CC"/>
      </right>
      <top style="thin">
        <color rgb="FFB0B8CC"/>
      </top>
      <bottom style="thin">
        <color rgb="FFB0B8CC"/>
      </bottom>
      <diagonal/>
    </border>
    <border>
      <left style="medium">
        <color rgb="FFB0B8CC"/>
      </left>
      <right/>
      <top style="medium">
        <color rgb="FFB0B8CC"/>
      </top>
      <bottom/>
      <diagonal/>
    </border>
    <border>
      <left style="thin">
        <color rgb="FFB0B8CC"/>
      </left>
      <right/>
      <top style="thin">
        <color rgb="FFB0B8CC"/>
      </top>
      <bottom style="thin">
        <color rgb="FFB0B8CC"/>
      </bottom>
      <diagonal/>
    </border>
    <border>
      <left/>
      <right/>
      <top style="medium">
        <color rgb="FFB0B8CC"/>
      </top>
      <bottom/>
      <diagonal/>
    </border>
    <border>
      <left style="medium">
        <color rgb="FFB0B8CC"/>
      </left>
      <right/>
      <top/>
      <bottom/>
      <diagonal/>
    </border>
    <border>
      <left/>
      <right/>
      <top style="thin">
        <color rgb="FFB0B8CC"/>
      </top>
      <bottom style="thin">
        <color rgb="FFB0B8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1" fontId="5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49" fontId="4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indent="1"/>
    </xf>
    <xf numFmtId="49" fontId="6" fillId="5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0" fontId="6" fillId="6" borderId="1" xfId="0" applyNumberFormat="1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" fontId="10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 wrapText="1"/>
    </xf>
    <xf numFmtId="17" fontId="10" fillId="4" borderId="1" xfId="0" applyNumberFormat="1" applyFont="1" applyFill="1" applyBorder="1" applyAlignment="1">
      <alignment horizontal="center" vertical="center" wrapText="1"/>
    </xf>
    <xf numFmtId="167" fontId="10" fillId="4" borderId="1" xfId="0" applyNumberFormat="1" applyFont="1" applyFill="1" applyBorder="1" applyAlignment="1">
      <alignment horizontal="right" vertical="center"/>
    </xf>
    <xf numFmtId="167" fontId="11" fillId="6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3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6" xfId="0" applyBorder="1"/>
  </cellXfs>
  <cellStyles count="1">
    <cellStyle name="Normal" xfId="0" builtinId="0"/>
  </cellStyles>
  <dxfs count="5">
    <dxf>
      <font>
        <b/>
        <color rgb="FF9C0006"/>
      </font>
      <fill>
        <patternFill>
          <bgColor rgb="FFFFC7CE"/>
        </patternFill>
      </fill>
    </dxf>
    <dxf>
      <font>
        <b/>
        <color rgb="FF1E7145"/>
      </font>
      <fill>
        <patternFill>
          <bgColor rgb="FFC6EFCE"/>
        </patternFill>
      </fill>
    </dxf>
    <dxf>
      <font>
        <b/>
        <sz val="12"/>
        <color rgb="FF9C6500"/>
      </font>
      <fill>
        <patternFill>
          <bgColor rgb="FFFFEB9C"/>
        </patternFill>
      </fill>
    </dxf>
    <dxf>
      <font>
        <b/>
        <sz val="14"/>
        <color rgb="FF9C0006"/>
      </font>
      <fill>
        <patternFill>
          <bgColor rgb="FFFFC7CE"/>
        </patternFill>
      </fill>
    </dxf>
    <dxf>
      <font>
        <b/>
        <sz val="14"/>
        <color rgb="FF1E7145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1E7145"/>
      <rgbColor rgb="FFB8C4D8"/>
      <rgbColor rgb="FF808080"/>
      <rgbColor rgb="FF9999FF"/>
      <rgbColor rgb="FF993366"/>
      <rgbColor rgb="FFF5F7F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0B8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2E4172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1:F2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9" sqref="F19"/>
    </sheetView>
  </sheetViews>
  <sheetFormatPr defaultColWidth="8.6328125" defaultRowHeight="14.5" x14ac:dyDescent="0.35"/>
  <cols>
    <col min="1" max="1" width="2" customWidth="1"/>
    <col min="2" max="2" width="32" customWidth="1"/>
    <col min="3" max="3" width="22" customWidth="1"/>
    <col min="4" max="4" width="5" customWidth="1"/>
    <col min="5" max="5" width="32" customWidth="1"/>
    <col min="6" max="6" width="22" customWidth="1"/>
    <col min="7" max="7" width="2" customWidth="1"/>
  </cols>
  <sheetData>
    <row r="1" spans="2:6" ht="7.5" customHeight="1" x14ac:dyDescent="0.35"/>
    <row r="2" spans="2:6" ht="15" customHeight="1" x14ac:dyDescent="0.35">
      <c r="B2" s="28" t="s">
        <v>0</v>
      </c>
      <c r="C2" s="26"/>
      <c r="D2" s="26"/>
      <c r="E2" s="26"/>
      <c r="F2" s="26"/>
    </row>
    <row r="3" spans="2:6" ht="15" customHeight="1" x14ac:dyDescent="0.35">
      <c r="B3" s="26"/>
      <c r="C3" s="26"/>
      <c r="D3" s="26"/>
      <c r="E3" s="26"/>
      <c r="F3" s="26"/>
    </row>
    <row r="4" spans="2:6" ht="15" customHeight="1" x14ac:dyDescent="0.35">
      <c r="B4" s="25" t="s">
        <v>1</v>
      </c>
      <c r="C4" s="26"/>
      <c r="D4" s="26"/>
      <c r="E4" s="26"/>
      <c r="F4" s="26"/>
    </row>
    <row r="5" spans="2:6" ht="6" customHeight="1" x14ac:dyDescent="0.35"/>
    <row r="6" spans="2:6" ht="18" customHeight="1" x14ac:dyDescent="0.35">
      <c r="B6" s="27" t="s">
        <v>2</v>
      </c>
      <c r="C6" s="26"/>
      <c r="E6" s="27" t="s">
        <v>3</v>
      </c>
      <c r="F6" s="26"/>
    </row>
    <row r="7" spans="2:6" ht="16.5" customHeight="1" x14ac:dyDescent="0.35">
      <c r="B7" s="1" t="s">
        <v>4</v>
      </c>
      <c r="C7" s="2">
        <v>720</v>
      </c>
      <c r="E7" s="1" t="s">
        <v>5</v>
      </c>
      <c r="F7" s="3">
        <f>C10-C11</f>
        <v>40000</v>
      </c>
    </row>
    <row r="8" spans="2:6" ht="16.5" customHeight="1" x14ac:dyDescent="0.35">
      <c r="B8" s="1" t="s">
        <v>6</v>
      </c>
      <c r="C8" s="4">
        <v>72000</v>
      </c>
      <c r="E8" s="1" t="s">
        <v>7</v>
      </c>
      <c r="F8" s="5">
        <f>C13/12</f>
        <v>6.2416666666666662E-3</v>
      </c>
    </row>
    <row r="9" spans="2:6" ht="16.5" customHeight="1" x14ac:dyDescent="0.35">
      <c r="B9" s="1" t="s">
        <v>8</v>
      </c>
      <c r="C9" s="4">
        <v>450</v>
      </c>
      <c r="E9" s="1" t="s">
        <v>9</v>
      </c>
      <c r="F9" s="3">
        <f>IFERROR(PMT(F8,C12,-F7),0)</f>
        <v>801.32787853193918</v>
      </c>
    </row>
    <row r="10" spans="2:6" ht="16.5" customHeight="1" x14ac:dyDescent="0.35">
      <c r="B10" s="1" t="s">
        <v>10</v>
      </c>
      <c r="C10" s="4">
        <v>40000</v>
      </c>
      <c r="E10" s="1" t="s">
        <v>11</v>
      </c>
      <c r="F10" s="6">
        <f>(C9+F9)/(C8/12)</f>
        <v>0.20855464642198987</v>
      </c>
    </row>
    <row r="11" spans="2:6" ht="16.5" customHeight="1" x14ac:dyDescent="0.35">
      <c r="B11" s="1" t="s">
        <v>12</v>
      </c>
      <c r="C11" s="4">
        <v>0</v>
      </c>
      <c r="E11" s="1" t="s">
        <v>13</v>
      </c>
      <c r="F11" s="6">
        <f>IFERROR(F7/C10,0)</f>
        <v>1</v>
      </c>
    </row>
    <row r="12" spans="2:6" ht="16.5" customHeight="1" x14ac:dyDescent="0.35">
      <c r="B12" s="1" t="s">
        <v>14</v>
      </c>
      <c r="C12" s="2">
        <v>60</v>
      </c>
      <c r="E12" s="1" t="s">
        <v>15</v>
      </c>
      <c r="F12" s="7" t="str">
        <f>IF(C7&gt;=750,"Super-Prime",IF(C7&gt;=700,"Prime",IF(C7&gt;=650,"Near-Prime","Sub-Prime")))</f>
        <v>Prime</v>
      </c>
    </row>
    <row r="13" spans="2:6" ht="16.5" customHeight="1" x14ac:dyDescent="0.35">
      <c r="B13" s="1" t="s">
        <v>16</v>
      </c>
      <c r="C13" s="8">
        <v>7.4899999999999994E-2</v>
      </c>
      <c r="E13" s="1" t="s">
        <v>17</v>
      </c>
      <c r="F13" s="7" t="str">
        <f>IF(F11&gt;1,"Yes — LTV exceeds 100%","No")</f>
        <v>No</v>
      </c>
    </row>
    <row r="14" spans="2:6" ht="6" customHeight="1" x14ac:dyDescent="0.35"/>
    <row r="15" spans="2:6" ht="18" customHeight="1" x14ac:dyDescent="0.35">
      <c r="B15" s="27" t="s">
        <v>18</v>
      </c>
      <c r="C15" s="26"/>
      <c r="E15" s="27" t="s">
        <v>19</v>
      </c>
      <c r="F15" s="26"/>
    </row>
    <row r="16" spans="2:6" ht="16.5" customHeight="1" x14ac:dyDescent="0.35">
      <c r="B16" s="1" t="s">
        <v>20</v>
      </c>
      <c r="C16" s="9">
        <v>0.45</v>
      </c>
      <c r="E16" s="10" t="s">
        <v>21</v>
      </c>
      <c r="F16" s="11" t="str">
        <f>IF(C7&gt;=C18,"✔  PASS","✘  FAIL")</f>
        <v>✔  PASS</v>
      </c>
    </row>
    <row r="17" spans="2:6" ht="16.5" customHeight="1" x14ac:dyDescent="0.35">
      <c r="B17" s="1" t="s">
        <v>22</v>
      </c>
      <c r="C17" s="9">
        <v>1.1000000000000001</v>
      </c>
      <c r="E17" s="10" t="s">
        <v>23</v>
      </c>
      <c r="F17" s="11" t="str">
        <f>IF(F10&lt;=C16,"✔  PASS","✘  FAIL")</f>
        <v>✔  PASS</v>
      </c>
    </row>
    <row r="18" spans="2:6" ht="16.5" customHeight="1" x14ac:dyDescent="0.35">
      <c r="B18" s="1" t="s">
        <v>24</v>
      </c>
      <c r="C18" s="2">
        <v>620</v>
      </c>
      <c r="E18" s="10" t="s">
        <v>25</v>
      </c>
      <c r="F18" s="11" t="str">
        <f>IF(F11&lt;=C17,"✔  PASS","✘  FAIL")</f>
        <v>✔  PASS</v>
      </c>
    </row>
    <row r="19" spans="2:6" ht="16.5" customHeight="1" x14ac:dyDescent="0.35">
      <c r="B19" s="1" t="s">
        <v>26</v>
      </c>
      <c r="C19" s="2">
        <v>72</v>
      </c>
      <c r="E19" s="10" t="s">
        <v>27</v>
      </c>
      <c r="F19" s="11" t="str">
        <f>IF(C12&lt;=C19,"✔  PASS","✘  FAIL")</f>
        <v>✔  PASS</v>
      </c>
    </row>
    <row r="20" spans="2:6" ht="6" customHeight="1" x14ac:dyDescent="0.35"/>
    <row r="21" spans="2:6" ht="18" customHeight="1" x14ac:dyDescent="0.35">
      <c r="B21" s="27" t="s">
        <v>28</v>
      </c>
      <c r="C21" s="26"/>
      <c r="E21" s="32" t="s">
        <v>29</v>
      </c>
      <c r="F21" s="26"/>
    </row>
    <row r="22" spans="2:6" ht="19.5" customHeight="1" x14ac:dyDescent="0.35">
      <c r="E22" s="29" t="str">
        <f>IF(AND(F16="✔  PASS",F17="✔  PASS",F18="✔  PASS",F19="✔  PASS"),"LIKELY APPROVED",IF(COUNTIF(F16:F19,"✘  FAIL")=1,"CONDITIONAL — REVIEW REQUIRED","LIKELY DECLINED"))</f>
        <v>LIKELY APPROVED</v>
      </c>
      <c r="F22" s="30"/>
    </row>
    <row r="23" spans="2:6" ht="19.5" customHeight="1" x14ac:dyDescent="0.35">
      <c r="E23" s="31"/>
      <c r="F23" s="26"/>
    </row>
    <row r="24" spans="2:6" ht="19.5" customHeight="1" x14ac:dyDescent="0.35">
      <c r="E24" s="31"/>
      <c r="F24" s="26"/>
    </row>
  </sheetData>
  <sheetProtection password="8E18" sheet="1"/>
  <mergeCells count="9">
    <mergeCell ref="B2:F3"/>
    <mergeCell ref="E22:F24"/>
    <mergeCell ref="E21:F21"/>
    <mergeCell ref="B4:F4"/>
    <mergeCell ref="B6:C6"/>
    <mergeCell ref="B21:C21"/>
    <mergeCell ref="E6:F6"/>
    <mergeCell ref="B15:C15"/>
    <mergeCell ref="E15:F15"/>
  </mergeCells>
  <conditionalFormatting sqref="E22:F24">
    <cfRule type="containsText" dxfId="4" priority="10" operator="containsText" text="LIKELY APPROVED">
      <formula>NOT(ISERROR(SEARCH("LIKELY APPROVED",E22)))</formula>
    </cfRule>
    <cfRule type="containsText" dxfId="3" priority="11" operator="containsText" text="LIKELY DECLINED">
      <formula>NOT(ISERROR(SEARCH("LIKELY DECLINED",E22)))</formula>
    </cfRule>
    <cfRule type="containsText" dxfId="2" priority="12" operator="containsText" text="CONDITIONAL">
      <formula>NOT(ISERROR(SEARCH("CONDITIONAL",E22)))</formula>
    </cfRule>
  </conditionalFormatting>
  <conditionalFormatting sqref="F16:F19">
    <cfRule type="containsText" dxfId="1" priority="2" operator="containsText" text="✔">
      <formula>NOT(ISERROR(SEARCH("✔",F16)))</formula>
    </cfRule>
    <cfRule type="containsText" dxfId="0" priority="3" operator="containsText" text="✘">
      <formula>NOT(ISERROR(SEARCH("✘",F16)))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B1:H94"/>
  <sheetViews>
    <sheetView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C7" sqref="C7"/>
    </sheetView>
  </sheetViews>
  <sheetFormatPr defaultColWidth="8.6328125" defaultRowHeight="14.5" x14ac:dyDescent="0.35"/>
  <cols>
    <col min="1" max="1" width="2" customWidth="1"/>
    <col min="2" max="2" width="10" customWidth="1"/>
    <col min="3" max="7" width="18" customWidth="1"/>
    <col min="8" max="8" width="2" customWidth="1"/>
  </cols>
  <sheetData>
    <row r="1" spans="2:8" ht="7.5" customHeight="1" x14ac:dyDescent="0.35"/>
    <row r="2" spans="2:8" ht="15" customHeight="1" x14ac:dyDescent="0.35">
      <c r="B2" s="33" t="s">
        <v>30</v>
      </c>
      <c r="C2" s="26"/>
      <c r="D2" s="26"/>
      <c r="E2" s="26"/>
      <c r="F2" s="26"/>
      <c r="G2" s="26"/>
    </row>
    <row r="3" spans="2:8" ht="15" customHeight="1" x14ac:dyDescent="0.35">
      <c r="B3" s="26"/>
      <c r="C3" s="26"/>
      <c r="D3" s="26"/>
      <c r="E3" s="26"/>
      <c r="F3" s="26"/>
      <c r="G3" s="26"/>
    </row>
    <row r="4" spans="2:8" ht="15" customHeight="1" x14ac:dyDescent="0.35">
      <c r="B4" s="25" t="s">
        <v>31</v>
      </c>
      <c r="C4" s="26"/>
      <c r="D4" s="26"/>
      <c r="E4" s="26"/>
      <c r="F4" s="26"/>
      <c r="G4" s="26"/>
    </row>
    <row r="5" spans="2:8" ht="6" customHeight="1" x14ac:dyDescent="0.35"/>
    <row r="6" spans="2:8" ht="16.5" customHeight="1" x14ac:dyDescent="0.35">
      <c r="B6" s="12" t="s">
        <v>5</v>
      </c>
      <c r="C6" s="12" t="s">
        <v>32</v>
      </c>
      <c r="D6" s="12" t="s">
        <v>33</v>
      </c>
      <c r="E6" s="12" t="s">
        <v>34</v>
      </c>
      <c r="F6" s="12" t="s">
        <v>35</v>
      </c>
      <c r="G6" s="12" t="s">
        <v>36</v>
      </c>
    </row>
    <row r="7" spans="2:8" ht="18" customHeight="1" x14ac:dyDescent="0.35">
      <c r="B7" s="13">
        <f>'Underwriting Dashboard'!F7</f>
        <v>40000</v>
      </c>
      <c r="C7" s="13">
        <f>'Underwriting Dashboard'!F9</f>
        <v>801.32787853193918</v>
      </c>
      <c r="D7" s="13">
        <f>IF(B7&gt;0,C7*'Underwriting Dashboard'!C12-B7,0)</f>
        <v>8079.6727119163479</v>
      </c>
      <c r="E7" s="13">
        <f>C7*'Underwriting Dashboard'!C12</f>
        <v>48079.672711916348</v>
      </c>
      <c r="F7" s="14">
        <f>'Underwriting Dashboard'!C13</f>
        <v>7.4899999999999994E-2</v>
      </c>
      <c r="G7" s="15" t="str">
        <f>'Underwriting Dashboard'!C12&amp;" mo"</f>
        <v>60 mo</v>
      </c>
    </row>
    <row r="8" spans="2:8" ht="6" customHeight="1" x14ac:dyDescent="0.35"/>
    <row r="9" spans="2:8" ht="16.5" customHeight="1" x14ac:dyDescent="0.35">
      <c r="B9" s="16" t="s">
        <v>37</v>
      </c>
      <c r="C9" s="16" t="s">
        <v>38</v>
      </c>
      <c r="D9" s="16" t="s">
        <v>39</v>
      </c>
      <c r="E9" s="16" t="s">
        <v>40</v>
      </c>
      <c r="F9" s="16" t="s">
        <v>41</v>
      </c>
      <c r="G9" s="16" t="s">
        <v>42</v>
      </c>
      <c r="H9" s="16" t="s">
        <v>43</v>
      </c>
    </row>
    <row r="10" spans="2:8" ht="15" customHeight="1" x14ac:dyDescent="0.35">
      <c r="B10" s="17">
        <f>IF(1&lt;='Underwriting Dashboard'!C12,1,"")</f>
        <v>1</v>
      </c>
      <c r="C10" s="18">
        <f ca="1">IF(B10&lt;&gt;"",DATE(YEAR(TODAY()),MONTH(TODAY())+1,1),"")</f>
        <v>46113</v>
      </c>
      <c r="D10" s="19">
        <f>IF(B10&lt;&gt;"",'Underwriting Dashboard'!F7,"")</f>
        <v>40000</v>
      </c>
      <c r="E10" s="19">
        <f>IF(B10&lt;&gt;"",'Underwriting Dashboard'!F9,"")</f>
        <v>801.32787853193918</v>
      </c>
      <c r="F10" s="19">
        <f>IF(B10&lt;&gt;"",PPMT('Underwriting Dashboard'!F8,1,'Underwriting Dashboard'!C12,-'Underwriting Dashboard'!F7),"")</f>
        <v>551.66121186527255</v>
      </c>
      <c r="G10" s="19">
        <f>IF(B10&lt;&gt;"",IPMT('Underwriting Dashboard'!F8,1,'Underwriting Dashboard'!C12,-'Underwriting Dashboard'!F7),"")</f>
        <v>249.66666666666666</v>
      </c>
      <c r="H10" s="19">
        <f t="shared" ref="H10:H41" si="0">IF(B10&lt;&gt;"",D10-F10,"")</f>
        <v>39448.33878813473</v>
      </c>
    </row>
    <row r="11" spans="2:8" ht="15" customHeight="1" x14ac:dyDescent="0.35">
      <c r="B11" s="20">
        <f>IF(2&lt;='Underwriting Dashboard'!C12,2,"")</f>
        <v>2</v>
      </c>
      <c r="C11" s="21">
        <f t="shared" ref="C11:C42" ca="1" si="1">IF(B11&lt;&gt;"",EDATE(C10,1),"")</f>
        <v>46143</v>
      </c>
      <c r="D11" s="22">
        <f t="shared" ref="D11:D42" si="2">IF(B11&lt;&gt;"",G10,"")</f>
        <v>249.66666666666666</v>
      </c>
      <c r="E11" s="22">
        <f>IF(B11&lt;&gt;"",'Underwriting Dashboard'!F9,"")</f>
        <v>801.32787853193918</v>
      </c>
      <c r="F11" s="22">
        <f>IF(B11&lt;&gt;"",PPMT('Underwriting Dashboard'!F8,2,'Underwriting Dashboard'!C12,-'Underwriting Dashboard'!F7),"")</f>
        <v>555.10449726266506</v>
      </c>
      <c r="G11" s="22">
        <f>IF(B11&lt;&gt;"",IPMT('Underwriting Dashboard'!F8,2,'Underwriting Dashboard'!C12,-'Underwriting Dashboard'!F7),"")</f>
        <v>246.2233812692742</v>
      </c>
      <c r="H11" s="22">
        <f t="shared" si="0"/>
        <v>-305.43783059599843</v>
      </c>
    </row>
    <row r="12" spans="2:8" ht="15" customHeight="1" x14ac:dyDescent="0.35">
      <c r="B12" s="17">
        <f>IF(3&lt;='Underwriting Dashboard'!C12,3,"")</f>
        <v>3</v>
      </c>
      <c r="C12" s="18">
        <f t="shared" ca="1" si="1"/>
        <v>46174</v>
      </c>
      <c r="D12" s="19">
        <f t="shared" si="2"/>
        <v>246.2233812692742</v>
      </c>
      <c r="E12" s="19">
        <f>IF(B12&lt;&gt;"",'Underwriting Dashboard'!F9,"")</f>
        <v>801.32787853193918</v>
      </c>
      <c r="F12" s="19">
        <f>IF(B12&lt;&gt;"",PPMT('Underwriting Dashboard'!F8,3,'Underwriting Dashboard'!C12,-'Underwriting Dashboard'!F7),"")</f>
        <v>558.56927449974614</v>
      </c>
      <c r="G12" s="19">
        <f>IF(B12&lt;&gt;"",IPMT('Underwriting Dashboard'!F8,3,'Underwriting Dashboard'!C12,-'Underwriting Dashboard'!F7),"")</f>
        <v>242.75860403219309</v>
      </c>
      <c r="H12" s="19">
        <f t="shared" si="0"/>
        <v>-312.34589323047192</v>
      </c>
    </row>
    <row r="13" spans="2:8" ht="15" customHeight="1" x14ac:dyDescent="0.35">
      <c r="B13" s="20">
        <f>IF(4&lt;='Underwriting Dashboard'!C12,4,"")</f>
        <v>4</v>
      </c>
      <c r="C13" s="21">
        <f t="shared" ca="1" si="1"/>
        <v>46204</v>
      </c>
      <c r="D13" s="22">
        <f t="shared" si="2"/>
        <v>242.75860403219309</v>
      </c>
      <c r="E13" s="22">
        <f>IF(B13&lt;&gt;"",'Underwriting Dashboard'!F9,"")</f>
        <v>801.32787853193918</v>
      </c>
      <c r="F13" s="22">
        <f>IF(B13&lt;&gt;"",PPMT('Underwriting Dashboard'!F8,4,'Underwriting Dashboard'!C12,-'Underwriting Dashboard'!F7),"")</f>
        <v>562.05567772141546</v>
      </c>
      <c r="G13" s="22">
        <f>IF(B13&lt;&gt;"",IPMT('Underwriting Dashboard'!F8,4,'Underwriting Dashboard'!C12,-'Underwriting Dashboard'!F7),"")</f>
        <v>239.27220081052386</v>
      </c>
      <c r="H13" s="22">
        <f t="shared" si="0"/>
        <v>-319.29707368922237</v>
      </c>
    </row>
    <row r="14" spans="2:8" ht="15" customHeight="1" x14ac:dyDescent="0.35">
      <c r="B14" s="17">
        <f>IF(5&lt;='Underwriting Dashboard'!C12,5,"")</f>
        <v>5</v>
      </c>
      <c r="C14" s="18">
        <f t="shared" ca="1" si="1"/>
        <v>46235</v>
      </c>
      <c r="D14" s="19">
        <f t="shared" si="2"/>
        <v>239.27220081052386</v>
      </c>
      <c r="E14" s="19">
        <f>IF(B14&lt;&gt;"",'Underwriting Dashboard'!F9,"")</f>
        <v>801.32787853193918</v>
      </c>
      <c r="F14" s="19">
        <f>IF(B14&lt;&gt;"",PPMT('Underwriting Dashboard'!F8,5,'Underwriting Dashboard'!C12,-'Underwriting Dashboard'!F7),"")</f>
        <v>565.56384190985989</v>
      </c>
      <c r="G14" s="19">
        <f>IF(B14&lt;&gt;"",IPMT('Underwriting Dashboard'!F8,5,'Underwriting Dashboard'!C12,-'Underwriting Dashboard'!F7),"")</f>
        <v>235.76403662207932</v>
      </c>
      <c r="H14" s="19">
        <f t="shared" si="0"/>
        <v>-326.29164109933606</v>
      </c>
    </row>
    <row r="15" spans="2:8" ht="15" customHeight="1" x14ac:dyDescent="0.35">
      <c r="B15" s="20">
        <f>IF(6&lt;='Underwriting Dashboard'!C12,6,"")</f>
        <v>6</v>
      </c>
      <c r="C15" s="21">
        <f t="shared" ca="1" si="1"/>
        <v>46266</v>
      </c>
      <c r="D15" s="22">
        <f t="shared" si="2"/>
        <v>235.76403662207932</v>
      </c>
      <c r="E15" s="22">
        <f>IF(B15&lt;&gt;"",'Underwriting Dashboard'!F9,"")</f>
        <v>801.32787853193918</v>
      </c>
      <c r="F15" s="22">
        <f>IF(B15&lt;&gt;"",PPMT('Underwriting Dashboard'!F8,6,'Underwriting Dashboard'!C12,-'Underwriting Dashboard'!F7),"")</f>
        <v>569.09390288978068</v>
      </c>
      <c r="G15" s="22">
        <f>IF(B15&lt;&gt;"",IPMT('Underwriting Dashboard'!F8,6,'Underwriting Dashboard'!C12,-'Underwriting Dashboard'!F7),"")</f>
        <v>232.23397564215864</v>
      </c>
      <c r="H15" s="22">
        <f t="shared" si="0"/>
        <v>-333.32986626770139</v>
      </c>
    </row>
    <row r="16" spans="2:8" ht="15" customHeight="1" x14ac:dyDescent="0.35">
      <c r="B16" s="17">
        <f>IF(7&lt;='Underwriting Dashboard'!C12,7,"")</f>
        <v>7</v>
      </c>
      <c r="C16" s="18">
        <f t="shared" ca="1" si="1"/>
        <v>46296</v>
      </c>
      <c r="D16" s="19">
        <f t="shared" si="2"/>
        <v>232.23397564215864</v>
      </c>
      <c r="E16" s="19">
        <f>IF(B16&lt;&gt;"",'Underwriting Dashboard'!F9,"")</f>
        <v>801.32787853193918</v>
      </c>
      <c r="F16" s="19">
        <f>IF(B16&lt;&gt;"",PPMT('Underwriting Dashboard'!F8,7,'Underwriting Dashboard'!C12,-'Underwriting Dashboard'!F7),"")</f>
        <v>572.64599733365105</v>
      </c>
      <c r="G16" s="19">
        <f>IF(B16&lt;&gt;"",IPMT('Underwriting Dashboard'!F8,7,'Underwriting Dashboard'!C12,-'Underwriting Dashboard'!F7),"")</f>
        <v>228.68188119828824</v>
      </c>
      <c r="H16" s="19">
        <f t="shared" si="0"/>
        <v>-340.41202169149244</v>
      </c>
    </row>
    <row r="17" spans="2:8" ht="15" customHeight="1" x14ac:dyDescent="0.35">
      <c r="B17" s="20">
        <f>IF(8&lt;='Underwriting Dashboard'!C12,8,"")</f>
        <v>8</v>
      </c>
      <c r="C17" s="21">
        <f t="shared" ca="1" si="1"/>
        <v>46327</v>
      </c>
      <c r="D17" s="22">
        <f t="shared" si="2"/>
        <v>228.68188119828824</v>
      </c>
      <c r="E17" s="22">
        <f>IF(B17&lt;&gt;"",'Underwriting Dashboard'!F9,"")</f>
        <v>801.32787853193918</v>
      </c>
      <c r="F17" s="22">
        <f>IF(B17&lt;&gt;"",PPMT('Underwriting Dashboard'!F8,8,'Underwriting Dashboard'!C12,-'Underwriting Dashboard'!F7),"")</f>
        <v>576.22026276700853</v>
      </c>
      <c r="G17" s="22">
        <f>IF(B17&lt;&gt;"",IPMT('Underwriting Dashboard'!F8,8,'Underwriting Dashboard'!C12,-'Underwriting Dashboard'!F7),"")</f>
        <v>225.1076157649307</v>
      </c>
      <c r="H17" s="22">
        <f t="shared" si="0"/>
        <v>-347.5383815687203</v>
      </c>
    </row>
    <row r="18" spans="2:8" ht="15" customHeight="1" x14ac:dyDescent="0.35">
      <c r="B18" s="17">
        <f>IF(9&lt;='Underwriting Dashboard'!C12,9,"")</f>
        <v>9</v>
      </c>
      <c r="C18" s="18">
        <f t="shared" ca="1" si="1"/>
        <v>46357</v>
      </c>
      <c r="D18" s="19">
        <f t="shared" si="2"/>
        <v>225.1076157649307</v>
      </c>
      <c r="E18" s="19">
        <f>IF(B18&lt;&gt;"",'Underwriting Dashboard'!F9,"")</f>
        <v>801.32787853193918</v>
      </c>
      <c r="F18" s="19">
        <f>IF(B18&lt;&gt;"",PPMT('Underwriting Dashboard'!F8,9,'Underwriting Dashboard'!C12,-'Underwriting Dashboard'!F7),"")</f>
        <v>579.81683757377925</v>
      </c>
      <c r="G18" s="19">
        <f>IF(B18&lt;&gt;"",IPMT('Underwriting Dashboard'!F8,9,'Underwriting Dashboard'!C12,-'Underwriting Dashboard'!F7),"")</f>
        <v>221.51104095815995</v>
      </c>
      <c r="H18" s="19">
        <f t="shared" si="0"/>
        <v>-354.70922180884855</v>
      </c>
    </row>
    <row r="19" spans="2:8" ht="15" customHeight="1" x14ac:dyDescent="0.35">
      <c r="B19" s="20">
        <f>IF(10&lt;='Underwriting Dashboard'!C12,10,"")</f>
        <v>10</v>
      </c>
      <c r="C19" s="21">
        <f t="shared" ca="1" si="1"/>
        <v>46388</v>
      </c>
      <c r="D19" s="22">
        <f t="shared" si="2"/>
        <v>221.51104095815995</v>
      </c>
      <c r="E19" s="22">
        <f>IF(B19&lt;&gt;"",'Underwriting Dashboard'!F9,"")</f>
        <v>801.32787853193918</v>
      </c>
      <c r="F19" s="22">
        <f>IF(B19&lt;&gt;"",PPMT('Underwriting Dashboard'!F8,10,'Underwriting Dashboard'!C12,-'Underwriting Dashboard'!F7),"")</f>
        <v>583.43586100163566</v>
      </c>
      <c r="G19" s="22">
        <f>IF(B19&lt;&gt;"",IPMT('Underwriting Dashboard'!F8,10,'Underwriting Dashboard'!C12,-'Underwriting Dashboard'!F7),"")</f>
        <v>217.8920175303036</v>
      </c>
      <c r="H19" s="22">
        <f t="shared" si="0"/>
        <v>-361.92482004347573</v>
      </c>
    </row>
    <row r="20" spans="2:8" ht="15" customHeight="1" x14ac:dyDescent="0.35">
      <c r="B20" s="17">
        <f>IF(11&lt;='Underwriting Dashboard'!C12,11,"")</f>
        <v>11</v>
      </c>
      <c r="C20" s="18">
        <f t="shared" ca="1" si="1"/>
        <v>46419</v>
      </c>
      <c r="D20" s="19">
        <f t="shared" si="2"/>
        <v>217.8920175303036</v>
      </c>
      <c r="E20" s="19">
        <f>IF(B20&lt;&gt;"",'Underwriting Dashboard'!F9,"")</f>
        <v>801.32787853193918</v>
      </c>
      <c r="F20" s="19">
        <f>IF(B20&lt;&gt;"",PPMT('Underwriting Dashboard'!F8,11,'Underwriting Dashboard'!C12,-'Underwriting Dashboard'!F7),"")</f>
        <v>587.07747316738755</v>
      </c>
      <c r="G20" s="19">
        <f>IF(B20&lt;&gt;"",IPMT('Underwriting Dashboard'!F8,11,'Underwriting Dashboard'!C12,-'Underwriting Dashboard'!F7),"")</f>
        <v>214.25040536455174</v>
      </c>
      <c r="H20" s="19">
        <f t="shared" si="0"/>
        <v>-369.18545563708392</v>
      </c>
    </row>
    <row r="21" spans="2:8" ht="15" customHeight="1" x14ac:dyDescent="0.35">
      <c r="B21" s="20">
        <f>IF(12&lt;='Underwriting Dashboard'!C12,12,"")</f>
        <v>12</v>
      </c>
      <c r="C21" s="21">
        <f t="shared" ca="1" si="1"/>
        <v>46447</v>
      </c>
      <c r="D21" s="22">
        <f t="shared" si="2"/>
        <v>214.25040536455174</v>
      </c>
      <c r="E21" s="22">
        <f>IF(B21&lt;&gt;"",'Underwriting Dashboard'!F9,"")</f>
        <v>801.32787853193918</v>
      </c>
      <c r="F21" s="22">
        <f>IF(B21&lt;&gt;"",PPMT('Underwriting Dashboard'!F8,12,'Underwriting Dashboard'!C12,-'Underwriting Dashboard'!F7),"")</f>
        <v>590.74181506240723</v>
      </c>
      <c r="G21" s="22">
        <f>IF(B21&lt;&gt;"",IPMT('Underwriting Dashboard'!F8,12,'Underwriting Dashboard'!C12,-'Underwriting Dashboard'!F7),"")</f>
        <v>210.58606346953195</v>
      </c>
      <c r="H21" s="22">
        <f t="shared" si="0"/>
        <v>-376.49140969785549</v>
      </c>
    </row>
    <row r="22" spans="2:8" ht="15" customHeight="1" x14ac:dyDescent="0.35">
      <c r="B22" s="17">
        <f>IF(13&lt;='Underwriting Dashboard'!C12,13,"")</f>
        <v>13</v>
      </c>
      <c r="C22" s="18">
        <f t="shared" ca="1" si="1"/>
        <v>46478</v>
      </c>
      <c r="D22" s="19">
        <f t="shared" si="2"/>
        <v>210.58606346953195</v>
      </c>
      <c r="E22" s="19">
        <f>IF(B22&lt;&gt;"",'Underwriting Dashboard'!F9,"")</f>
        <v>801.32787853193918</v>
      </c>
      <c r="F22" s="19">
        <f>IF(B22&lt;&gt;"",PPMT('Underwriting Dashboard'!F8,13,'Underwriting Dashboard'!C12,-'Underwriting Dashboard'!F7),"")</f>
        <v>594.42902855808848</v>
      </c>
      <c r="G22" s="19">
        <f>IF(B22&lt;&gt;"",IPMT('Underwriting Dashboard'!F8,13,'Underwriting Dashboard'!C12,-'Underwriting Dashboard'!F7),"")</f>
        <v>206.89884997385079</v>
      </c>
      <c r="H22" s="19">
        <f t="shared" si="0"/>
        <v>-383.84296508855653</v>
      </c>
    </row>
    <row r="23" spans="2:8" ht="15" customHeight="1" x14ac:dyDescent="0.35">
      <c r="B23" s="20">
        <f>IF(14&lt;='Underwriting Dashboard'!C12,14,"")</f>
        <v>14</v>
      </c>
      <c r="C23" s="21">
        <f t="shared" ca="1" si="1"/>
        <v>46508</v>
      </c>
      <c r="D23" s="22">
        <f t="shared" si="2"/>
        <v>206.89884997385079</v>
      </c>
      <c r="E23" s="22">
        <f>IF(B23&lt;&gt;"",'Underwriting Dashboard'!F9,"")</f>
        <v>801.32787853193918</v>
      </c>
      <c r="F23" s="22">
        <f>IF(B23&lt;&gt;"",PPMT('Underwriting Dashboard'!F8,14,'Underwriting Dashboard'!C12,-'Underwriting Dashboard'!F7),"")</f>
        <v>598.13925641133847</v>
      </c>
      <c r="G23" s="22">
        <f>IF(B23&lt;&gt;"",IPMT('Underwriting Dashboard'!F8,14,'Underwriting Dashboard'!C12,-'Underwriting Dashboard'!F7),"")</f>
        <v>203.18862212060068</v>
      </c>
      <c r="H23" s="22">
        <f t="shared" si="0"/>
        <v>-391.24040643748765</v>
      </c>
    </row>
    <row r="24" spans="2:8" ht="15" customHeight="1" x14ac:dyDescent="0.35">
      <c r="B24" s="17">
        <f>IF(15&lt;='Underwriting Dashboard'!C12,15,"")</f>
        <v>15</v>
      </c>
      <c r="C24" s="18">
        <f t="shared" ca="1" si="1"/>
        <v>46539</v>
      </c>
      <c r="D24" s="19">
        <f t="shared" si="2"/>
        <v>203.18862212060068</v>
      </c>
      <c r="E24" s="19">
        <f>IF(B24&lt;&gt;"",'Underwriting Dashboard'!F9,"")</f>
        <v>801.32787853193918</v>
      </c>
      <c r="F24" s="19">
        <f>IF(B24&lt;&gt;"",PPMT('Underwriting Dashboard'!F8,15,'Underwriting Dashboard'!C12,-'Underwriting Dashboard'!F7),"")</f>
        <v>601.87264227010598</v>
      </c>
      <c r="G24" s="19">
        <f>IF(B24&lt;&gt;"",IPMT('Underwriting Dashboard'!F8,15,'Underwriting Dashboard'!C12,-'Underwriting Dashboard'!F7),"")</f>
        <v>199.45523626183325</v>
      </c>
      <c r="H24" s="19">
        <f t="shared" si="0"/>
        <v>-398.68402014950527</v>
      </c>
    </row>
    <row r="25" spans="2:8" ht="15" customHeight="1" x14ac:dyDescent="0.35">
      <c r="B25" s="20">
        <f>IF(16&lt;='Underwriting Dashboard'!C12,16,"")</f>
        <v>16</v>
      </c>
      <c r="C25" s="21">
        <f t="shared" ca="1" si="1"/>
        <v>46569</v>
      </c>
      <c r="D25" s="22">
        <f t="shared" si="2"/>
        <v>199.45523626183325</v>
      </c>
      <c r="E25" s="22">
        <f>IF(B25&lt;&gt;"",'Underwriting Dashboard'!F9,"")</f>
        <v>801.32787853193918</v>
      </c>
      <c r="F25" s="22">
        <f>IF(B25&lt;&gt;"",PPMT('Underwriting Dashboard'!F8,16,'Underwriting Dashboard'!C12,-'Underwriting Dashboard'!F7),"")</f>
        <v>605.62933067894198</v>
      </c>
      <c r="G25" s="22">
        <f>IF(B25&lt;&gt;"",IPMT('Underwriting Dashboard'!F8,16,'Underwriting Dashboard'!C12,-'Underwriting Dashboard'!F7),"")</f>
        <v>195.69854785299734</v>
      </c>
      <c r="H25" s="22">
        <f t="shared" si="0"/>
        <v>-406.17409441710873</v>
      </c>
    </row>
    <row r="26" spans="2:8" ht="15" customHeight="1" x14ac:dyDescent="0.35">
      <c r="B26" s="17">
        <f>IF(17&lt;='Underwriting Dashboard'!C12,17,"")</f>
        <v>17</v>
      </c>
      <c r="C26" s="18">
        <f t="shared" ca="1" si="1"/>
        <v>46600</v>
      </c>
      <c r="D26" s="19">
        <f t="shared" si="2"/>
        <v>195.69854785299734</v>
      </c>
      <c r="E26" s="19">
        <f>IF(B26&lt;&gt;"",'Underwriting Dashboard'!F9,"")</f>
        <v>801.32787853193918</v>
      </c>
      <c r="F26" s="19">
        <f>IF(B26&lt;&gt;"",PPMT('Underwriting Dashboard'!F8,17,'Underwriting Dashboard'!C12,-'Underwriting Dashboard'!F7),"")</f>
        <v>609.40946708459626</v>
      </c>
      <c r="G26" s="19">
        <f>IF(B26&lt;&gt;"",IPMT('Underwriting Dashboard'!F8,17,'Underwriting Dashboard'!C12,-'Underwriting Dashboard'!F7),"")</f>
        <v>191.91841144734292</v>
      </c>
      <c r="H26" s="19">
        <f t="shared" si="0"/>
        <v>-413.71091923159895</v>
      </c>
    </row>
    <row r="27" spans="2:8" ht="15" customHeight="1" x14ac:dyDescent="0.35">
      <c r="B27" s="20">
        <f>IF(18&lt;='Underwriting Dashboard'!C12,18,"")</f>
        <v>18</v>
      </c>
      <c r="C27" s="21">
        <f t="shared" ca="1" si="1"/>
        <v>46631</v>
      </c>
      <c r="D27" s="22">
        <f t="shared" si="2"/>
        <v>191.91841144734292</v>
      </c>
      <c r="E27" s="22">
        <f>IF(B27&lt;&gt;"",'Underwriting Dashboard'!F9,"")</f>
        <v>801.32787853193918</v>
      </c>
      <c r="F27" s="22">
        <f>IF(B27&lt;&gt;"",PPMT('Underwriting Dashboard'!F8,18,'Underwriting Dashboard'!C12,-'Underwriting Dashboard'!F7),"")</f>
        <v>613.21319784164928</v>
      </c>
      <c r="G27" s="22">
        <f>IF(B27&lt;&gt;"",IPMT('Underwriting Dashboard'!F8,18,'Underwriting Dashboard'!C12,-'Underwriting Dashboard'!F7),"")</f>
        <v>188.11468069028993</v>
      </c>
      <c r="H27" s="22">
        <f t="shared" si="0"/>
        <v>-421.29478639430636</v>
      </c>
    </row>
    <row r="28" spans="2:8" ht="15" customHeight="1" x14ac:dyDescent="0.35">
      <c r="B28" s="17">
        <f>IF(19&lt;='Underwriting Dashboard'!C12,19,"")</f>
        <v>19</v>
      </c>
      <c r="C28" s="18">
        <f t="shared" ca="1" si="1"/>
        <v>46661</v>
      </c>
      <c r="D28" s="19">
        <f t="shared" si="2"/>
        <v>188.11468069028993</v>
      </c>
      <c r="E28" s="19">
        <f>IF(B28&lt;&gt;"",'Underwriting Dashboard'!F9,"")</f>
        <v>801.32787853193918</v>
      </c>
      <c r="F28" s="19">
        <f>IF(B28&lt;&gt;"",PPMT('Underwriting Dashboard'!F8,19,'Underwriting Dashboard'!C12,-'Underwriting Dashboard'!F7),"")</f>
        <v>617.04067021817764</v>
      </c>
      <c r="G28" s="19">
        <f>IF(B28&lt;&gt;"",IPMT('Underwriting Dashboard'!F8,19,'Underwriting Dashboard'!C12,-'Underwriting Dashboard'!F7),"")</f>
        <v>184.28720831376165</v>
      </c>
      <c r="H28" s="19">
        <f t="shared" si="0"/>
        <v>-428.92598952788774</v>
      </c>
    </row>
    <row r="29" spans="2:8" ht="15" customHeight="1" x14ac:dyDescent="0.35">
      <c r="B29" s="20">
        <f>IF(20&lt;='Underwriting Dashboard'!C12,20,"")</f>
        <v>20</v>
      </c>
      <c r="C29" s="21">
        <f t="shared" ca="1" si="1"/>
        <v>46692</v>
      </c>
      <c r="D29" s="22">
        <f t="shared" si="2"/>
        <v>184.28720831376165</v>
      </c>
      <c r="E29" s="22">
        <f>IF(B29&lt;&gt;"",'Underwriting Dashboard'!F9,"")</f>
        <v>801.32787853193918</v>
      </c>
      <c r="F29" s="22">
        <f>IF(B29&lt;&gt;"",PPMT('Underwriting Dashboard'!F8,20,'Underwriting Dashboard'!C12,-'Underwriting Dashboard'!F7),"")</f>
        <v>620.89203240145594</v>
      </c>
      <c r="G29" s="22">
        <f>IF(B29&lt;&gt;"",IPMT('Underwriting Dashboard'!F8,20,'Underwriting Dashboard'!C12,-'Underwriting Dashboard'!F7),"")</f>
        <v>180.43584613048321</v>
      </c>
      <c r="H29" s="22">
        <f t="shared" si="0"/>
        <v>-436.60482408769428</v>
      </c>
    </row>
    <row r="30" spans="2:8" ht="15" customHeight="1" x14ac:dyDescent="0.35">
      <c r="B30" s="17">
        <f>IF(21&lt;='Underwriting Dashboard'!C12,21,"")</f>
        <v>21</v>
      </c>
      <c r="C30" s="18">
        <f t="shared" ca="1" si="1"/>
        <v>46722</v>
      </c>
      <c r="D30" s="19">
        <f t="shared" si="2"/>
        <v>180.43584613048321</v>
      </c>
      <c r="E30" s="19">
        <f>IF(B30&lt;&gt;"",'Underwriting Dashboard'!F9,"")</f>
        <v>801.32787853193918</v>
      </c>
      <c r="F30" s="19">
        <f>IF(B30&lt;&gt;"",PPMT('Underwriting Dashboard'!F8,21,'Underwriting Dashboard'!C12,-'Underwriting Dashboard'!F7),"")</f>
        <v>624.76743350369509</v>
      </c>
      <c r="G30" s="19">
        <f>IF(B30&lt;&gt;"",IPMT('Underwriting Dashboard'!F8,21,'Underwriting Dashboard'!C12,-'Underwriting Dashboard'!F7),"")</f>
        <v>176.56044502824412</v>
      </c>
      <c r="H30" s="19">
        <f t="shared" si="0"/>
        <v>-444.33158737321185</v>
      </c>
    </row>
    <row r="31" spans="2:8" ht="15" customHeight="1" x14ac:dyDescent="0.35">
      <c r="B31" s="20">
        <f>IF(22&lt;='Underwriting Dashboard'!C12,22,"")</f>
        <v>22</v>
      </c>
      <c r="C31" s="21">
        <f t="shared" ca="1" si="1"/>
        <v>46753</v>
      </c>
      <c r="D31" s="22">
        <f t="shared" si="2"/>
        <v>176.56044502824412</v>
      </c>
      <c r="E31" s="22">
        <f>IF(B31&lt;&gt;"",'Underwriting Dashboard'!F9,"")</f>
        <v>801.32787853193918</v>
      </c>
      <c r="F31" s="22">
        <f>IF(B31&lt;&gt;"",PPMT('Underwriting Dashboard'!F8,22,'Underwriting Dashboard'!C12,-'Underwriting Dashboard'!F7),"")</f>
        <v>628.667023567814</v>
      </c>
      <c r="G31" s="22">
        <f>IF(B31&lt;&gt;"",IPMT('Underwriting Dashboard'!F8,22,'Underwriting Dashboard'!C12,-'Underwriting Dashboard'!F7),"")</f>
        <v>172.66085496412521</v>
      </c>
      <c r="H31" s="22">
        <f t="shared" si="0"/>
        <v>-452.10657853956991</v>
      </c>
    </row>
    <row r="32" spans="2:8" ht="15" customHeight="1" x14ac:dyDescent="0.35">
      <c r="B32" s="17">
        <f>IF(23&lt;='Underwriting Dashboard'!C12,23,"")</f>
        <v>23</v>
      </c>
      <c r="C32" s="18">
        <f t="shared" ca="1" si="1"/>
        <v>46784</v>
      </c>
      <c r="D32" s="19">
        <f t="shared" si="2"/>
        <v>172.66085496412521</v>
      </c>
      <c r="E32" s="19">
        <f>IF(B32&lt;&gt;"",'Underwriting Dashboard'!F9,"")</f>
        <v>801.32787853193918</v>
      </c>
      <c r="F32" s="19">
        <f>IF(B32&lt;&gt;"",PPMT('Underwriting Dashboard'!F8,23,'Underwriting Dashboard'!C12,-'Underwriting Dashboard'!F7),"")</f>
        <v>632.59095357324975</v>
      </c>
      <c r="G32" s="19">
        <f>IF(B32&lt;&gt;"",IPMT('Underwriting Dashboard'!F8,23,'Underwriting Dashboard'!C12,-'Underwriting Dashboard'!F7),"")</f>
        <v>168.73692495868946</v>
      </c>
      <c r="H32" s="19">
        <f t="shared" si="0"/>
        <v>-459.93009860912457</v>
      </c>
    </row>
    <row r="33" spans="2:8" ht="15" customHeight="1" x14ac:dyDescent="0.35">
      <c r="B33" s="20">
        <f>IF(24&lt;='Underwriting Dashboard'!C12,24,"")</f>
        <v>24</v>
      </c>
      <c r="C33" s="21">
        <f t="shared" ca="1" si="1"/>
        <v>46813</v>
      </c>
      <c r="D33" s="22">
        <f t="shared" si="2"/>
        <v>168.73692495868946</v>
      </c>
      <c r="E33" s="22">
        <f>IF(B33&lt;&gt;"",'Underwriting Dashboard'!F9,"")</f>
        <v>801.32787853193918</v>
      </c>
      <c r="F33" s="22">
        <f>IF(B33&lt;&gt;"",PPMT('Underwriting Dashboard'!F8,24,'Underwriting Dashboard'!C12,-'Underwriting Dashboard'!F7),"")</f>
        <v>636.5393754418028</v>
      </c>
      <c r="G33" s="22">
        <f>IF(B33&lt;&gt;"",IPMT('Underwriting Dashboard'!F8,24,'Underwriting Dashboard'!C12,-'Underwriting Dashboard'!F7),"")</f>
        <v>164.7885030901364</v>
      </c>
      <c r="H33" s="22">
        <f t="shared" si="0"/>
        <v>-467.80245048311338</v>
      </c>
    </row>
    <row r="34" spans="2:8" ht="15" customHeight="1" x14ac:dyDescent="0.35">
      <c r="B34" s="17">
        <f>IF(25&lt;='Underwriting Dashboard'!C12,25,"")</f>
        <v>25</v>
      </c>
      <c r="C34" s="18">
        <f t="shared" ca="1" si="1"/>
        <v>46844</v>
      </c>
      <c r="D34" s="19">
        <f t="shared" si="2"/>
        <v>164.7885030901364</v>
      </c>
      <c r="E34" s="19">
        <f>IF(B34&lt;&gt;"",'Underwriting Dashboard'!F9,"")</f>
        <v>801.32787853193918</v>
      </c>
      <c r="F34" s="19">
        <f>IF(B34&lt;&gt;"",PPMT('Underwriting Dashboard'!F8,25,'Underwriting Dashboard'!C12,-'Underwriting Dashboard'!F7),"")</f>
        <v>640.51244204351883</v>
      </c>
      <c r="G34" s="19">
        <f>IF(B34&lt;&gt;"",IPMT('Underwriting Dashboard'!F8,25,'Underwriting Dashboard'!C12,-'Underwriting Dashboard'!F7),"")</f>
        <v>160.81543648842049</v>
      </c>
      <c r="H34" s="19">
        <f t="shared" si="0"/>
        <v>-475.72393895338246</v>
      </c>
    </row>
    <row r="35" spans="2:8" ht="15" customHeight="1" x14ac:dyDescent="0.35">
      <c r="B35" s="20">
        <f>IF(26&lt;='Underwriting Dashboard'!C12,26,"")</f>
        <v>26</v>
      </c>
      <c r="C35" s="21">
        <f t="shared" ca="1" si="1"/>
        <v>46874</v>
      </c>
      <c r="D35" s="22">
        <f t="shared" si="2"/>
        <v>160.81543648842049</v>
      </c>
      <c r="E35" s="22">
        <f>IF(B35&lt;&gt;"",'Underwriting Dashboard'!F9,"")</f>
        <v>801.32787853193918</v>
      </c>
      <c r="F35" s="22">
        <f>IF(B35&lt;&gt;"",PPMT('Underwriting Dashboard'!F8,26,'Underwriting Dashboard'!C12,-'Underwriting Dashboard'!F7),"")</f>
        <v>644.51030720260701</v>
      </c>
      <c r="G35" s="22">
        <f>IF(B35&lt;&gt;"",IPMT('Underwriting Dashboard'!F8,26,'Underwriting Dashboard'!C12,-'Underwriting Dashboard'!F7),"")</f>
        <v>156.8175713293322</v>
      </c>
      <c r="H35" s="22">
        <f t="shared" si="0"/>
        <v>-483.69487071418655</v>
      </c>
    </row>
    <row r="36" spans="2:8" ht="15" customHeight="1" x14ac:dyDescent="0.35">
      <c r="B36" s="17">
        <f>IF(27&lt;='Underwriting Dashboard'!C12,27,"")</f>
        <v>27</v>
      </c>
      <c r="C36" s="18">
        <f t="shared" ca="1" si="1"/>
        <v>46905</v>
      </c>
      <c r="D36" s="19">
        <f t="shared" si="2"/>
        <v>156.8175713293322</v>
      </c>
      <c r="E36" s="19">
        <f>IF(B36&lt;&gt;"",'Underwriting Dashboard'!F9,"")</f>
        <v>801.32787853193918</v>
      </c>
      <c r="F36" s="19">
        <f>IF(B36&lt;&gt;"",PPMT('Underwriting Dashboard'!F8,27,'Underwriting Dashboard'!C12,-'Underwriting Dashboard'!F7),"")</f>
        <v>648.53312570339665</v>
      </c>
      <c r="G36" s="19">
        <f>IF(B36&lt;&gt;"",IPMT('Underwriting Dashboard'!F8,27,'Underwriting Dashboard'!C12,-'Underwriting Dashboard'!F7),"")</f>
        <v>152.79475282854258</v>
      </c>
      <c r="H36" s="19">
        <f t="shared" si="0"/>
        <v>-491.71555437406448</v>
      </c>
    </row>
    <row r="37" spans="2:8" ht="15" customHeight="1" x14ac:dyDescent="0.35">
      <c r="B37" s="20">
        <f>IF(28&lt;='Underwriting Dashboard'!C12,28,"")</f>
        <v>28</v>
      </c>
      <c r="C37" s="21">
        <f t="shared" ca="1" si="1"/>
        <v>46935</v>
      </c>
      <c r="D37" s="22">
        <f t="shared" si="2"/>
        <v>152.79475282854258</v>
      </c>
      <c r="E37" s="22">
        <f>IF(B37&lt;&gt;"",'Underwriting Dashboard'!F9,"")</f>
        <v>801.32787853193918</v>
      </c>
      <c r="F37" s="22">
        <f>IF(B37&lt;&gt;"",PPMT('Underwriting Dashboard'!F8,28,'Underwriting Dashboard'!C12,-'Underwriting Dashboard'!F7),"")</f>
        <v>652.58105329632861</v>
      </c>
      <c r="G37" s="22">
        <f>IF(B37&lt;&gt;"",IPMT('Underwriting Dashboard'!F8,28,'Underwriting Dashboard'!C12,-'Underwriting Dashboard'!F7),"")</f>
        <v>148.74682523561057</v>
      </c>
      <c r="H37" s="22">
        <f t="shared" si="0"/>
        <v>-499.78630046778602</v>
      </c>
    </row>
    <row r="38" spans="2:8" ht="15" customHeight="1" x14ac:dyDescent="0.35">
      <c r="B38" s="17">
        <f>IF(29&lt;='Underwriting Dashboard'!C12,29,"")</f>
        <v>29</v>
      </c>
      <c r="C38" s="18">
        <f t="shared" ca="1" si="1"/>
        <v>46966</v>
      </c>
      <c r="D38" s="19">
        <f t="shared" si="2"/>
        <v>148.74682523561057</v>
      </c>
      <c r="E38" s="19">
        <f>IF(B38&lt;&gt;"",'Underwriting Dashboard'!F9,"")</f>
        <v>801.32787853193918</v>
      </c>
      <c r="F38" s="19">
        <f>IF(B38&lt;&gt;"",PPMT('Underwriting Dashboard'!F8,29,'Underwriting Dashboard'!C12,-'Underwriting Dashboard'!F7),"")</f>
        <v>656.65424670398659</v>
      </c>
      <c r="G38" s="19">
        <f>IF(B38&lt;&gt;"",IPMT('Underwriting Dashboard'!F8,29,'Underwriting Dashboard'!C12,-'Underwriting Dashboard'!F7),"")</f>
        <v>144.67363182795262</v>
      </c>
      <c r="H38" s="19">
        <f t="shared" si="0"/>
        <v>-507.90742146837601</v>
      </c>
    </row>
    <row r="39" spans="2:8" ht="15" customHeight="1" x14ac:dyDescent="0.35">
      <c r="B39" s="20">
        <f>IF(30&lt;='Underwriting Dashboard'!C12,30,"")</f>
        <v>30</v>
      </c>
      <c r="C39" s="21">
        <f t="shared" ca="1" si="1"/>
        <v>46997</v>
      </c>
      <c r="D39" s="22">
        <f t="shared" si="2"/>
        <v>144.67363182795262</v>
      </c>
      <c r="E39" s="22">
        <f>IF(B39&lt;&gt;"",'Underwriting Dashboard'!F9,"")</f>
        <v>801.32787853193918</v>
      </c>
      <c r="F39" s="22">
        <f>IF(B39&lt;&gt;"",PPMT('Underwriting Dashboard'!F8,30,'Underwriting Dashboard'!C12,-'Underwriting Dashboard'!F7),"")</f>
        <v>660.75286362716395</v>
      </c>
      <c r="G39" s="22">
        <f>IF(B39&lt;&gt;"",IPMT('Underwriting Dashboard'!F8,30,'Underwriting Dashboard'!C12,-'Underwriting Dashboard'!F7),"")</f>
        <v>140.57501490477529</v>
      </c>
      <c r="H39" s="22">
        <f t="shared" si="0"/>
        <v>-516.07923179921136</v>
      </c>
    </row>
    <row r="40" spans="2:8" ht="15" customHeight="1" x14ac:dyDescent="0.35">
      <c r="B40" s="17">
        <f>IF(31&lt;='Underwriting Dashboard'!C12,31,"")</f>
        <v>31</v>
      </c>
      <c r="C40" s="18">
        <f t="shared" ca="1" si="1"/>
        <v>47027</v>
      </c>
      <c r="D40" s="19">
        <f t="shared" si="2"/>
        <v>140.57501490477529</v>
      </c>
      <c r="E40" s="19">
        <f>IF(B40&lt;&gt;"",'Underwriting Dashboard'!F9,"")</f>
        <v>801.32787853193918</v>
      </c>
      <c r="F40" s="19">
        <f>IF(B40&lt;&gt;"",PPMT('Underwriting Dashboard'!F8,31,'Underwriting Dashboard'!C12,-'Underwriting Dashboard'!F7),"")</f>
        <v>664.87706275097014</v>
      </c>
      <c r="G40" s="19">
        <f>IF(B40&lt;&gt;"",IPMT('Underwriting Dashboard'!F8,31,'Underwriting Dashboard'!C12,-'Underwriting Dashboard'!F7),"")</f>
        <v>136.45081578096907</v>
      </c>
      <c r="H40" s="19">
        <f t="shared" si="0"/>
        <v>-524.30204784619491</v>
      </c>
    </row>
    <row r="41" spans="2:8" ht="15" customHeight="1" x14ac:dyDescent="0.35">
      <c r="B41" s="20">
        <f>IF(32&lt;='Underwriting Dashboard'!C12,32,"")</f>
        <v>32</v>
      </c>
      <c r="C41" s="21">
        <f t="shared" ca="1" si="1"/>
        <v>47058</v>
      </c>
      <c r="D41" s="22">
        <f t="shared" si="2"/>
        <v>136.45081578096907</v>
      </c>
      <c r="E41" s="22">
        <f>IF(B41&lt;&gt;"",'Underwriting Dashboard'!F9,"")</f>
        <v>801.32787853193918</v>
      </c>
      <c r="F41" s="22">
        <f>IF(B41&lt;&gt;"",PPMT('Underwriting Dashboard'!F8,32,'Underwriting Dashboard'!C12,-'Underwriting Dashboard'!F7),"")</f>
        <v>669.02700375097413</v>
      </c>
      <c r="G41" s="22">
        <f>IF(B41&lt;&gt;"",IPMT('Underwriting Dashboard'!F8,32,'Underwriting Dashboard'!C12,-'Underwriting Dashboard'!F7),"")</f>
        <v>132.30087478096505</v>
      </c>
      <c r="H41" s="22">
        <f t="shared" si="0"/>
        <v>-532.57618797000509</v>
      </c>
    </row>
    <row r="42" spans="2:8" ht="15" customHeight="1" x14ac:dyDescent="0.35">
      <c r="B42" s="17">
        <f>IF(33&lt;='Underwriting Dashboard'!C12,33,"")</f>
        <v>33</v>
      </c>
      <c r="C42" s="18">
        <f t="shared" ca="1" si="1"/>
        <v>47088</v>
      </c>
      <c r="D42" s="19">
        <f t="shared" si="2"/>
        <v>132.30087478096505</v>
      </c>
      <c r="E42" s="19">
        <f>IF(B42&lt;&gt;"",'Underwriting Dashboard'!F9,"")</f>
        <v>801.32787853193918</v>
      </c>
      <c r="F42" s="19">
        <f>IF(B42&lt;&gt;"",PPMT('Underwriting Dashboard'!F8,33,'Underwriting Dashboard'!C12,-'Underwriting Dashboard'!F7),"")</f>
        <v>673.20284729938658</v>
      </c>
      <c r="G42" s="19">
        <f>IF(B42&lt;&gt;"",IPMT('Underwriting Dashboard'!F8,33,'Underwriting Dashboard'!C12,-'Underwriting Dashboard'!F7),"")</f>
        <v>128.12503123255274</v>
      </c>
      <c r="H42" s="19">
        <f t="shared" ref="H42:H73" si="3">IF(B42&lt;&gt;"",D42-F42,"")</f>
        <v>-540.90197251842153</v>
      </c>
    </row>
    <row r="43" spans="2:8" ht="15" customHeight="1" x14ac:dyDescent="0.35">
      <c r="B43" s="20">
        <f>IF(34&lt;='Underwriting Dashboard'!C12,34,"")</f>
        <v>34</v>
      </c>
      <c r="C43" s="21">
        <f t="shared" ref="C43:C74" ca="1" si="4">IF(B43&lt;&gt;"",EDATE(C42,1),"")</f>
        <v>47119</v>
      </c>
      <c r="D43" s="22">
        <f t="shared" ref="D43:D74" si="5">IF(B43&lt;&gt;"",G42,"")</f>
        <v>128.12503123255274</v>
      </c>
      <c r="E43" s="22">
        <f>IF(B43&lt;&gt;"",'Underwriting Dashboard'!F9,"")</f>
        <v>801.32787853193918</v>
      </c>
      <c r="F43" s="22">
        <f>IF(B43&lt;&gt;"",PPMT('Underwriting Dashboard'!F8,34,'Underwriting Dashboard'!C12,-'Underwriting Dashboard'!F7),"")</f>
        <v>677.40475507128019</v>
      </c>
      <c r="G43" s="22">
        <f>IF(B43&lt;&gt;"",IPMT('Underwriting Dashboard'!F8,34,'Underwriting Dashboard'!C12,-'Underwriting Dashboard'!F7),"")</f>
        <v>123.92312346065907</v>
      </c>
      <c r="H43" s="22">
        <f t="shared" si="3"/>
        <v>-549.27972383872748</v>
      </c>
    </row>
    <row r="44" spans="2:8" ht="15" customHeight="1" x14ac:dyDescent="0.35">
      <c r="B44" s="17">
        <f>IF(35&lt;='Underwriting Dashboard'!C12,35,"")</f>
        <v>35</v>
      </c>
      <c r="C44" s="18">
        <f t="shared" ca="1" si="4"/>
        <v>47150</v>
      </c>
      <c r="D44" s="19">
        <f t="shared" si="5"/>
        <v>123.92312346065907</v>
      </c>
      <c r="E44" s="19">
        <f>IF(B44&lt;&gt;"",'Underwriting Dashboard'!F9,"")</f>
        <v>801.32787853193918</v>
      </c>
      <c r="F44" s="19">
        <f>IF(B44&lt;&gt;"",PPMT('Underwriting Dashboard'!F8,35,'Underwriting Dashboard'!C12,-'Underwriting Dashboard'!F7),"")</f>
        <v>681.63288975085004</v>
      </c>
      <c r="G44" s="19">
        <f>IF(B44&lt;&gt;"",IPMT('Underwriting Dashboard'!F8,35,'Underwriting Dashboard'!C12,-'Underwriting Dashboard'!F7),"")</f>
        <v>119.69498878108918</v>
      </c>
      <c r="H44" s="19">
        <f t="shared" si="3"/>
        <v>-557.70976629019094</v>
      </c>
    </row>
    <row r="45" spans="2:8" ht="15" customHeight="1" x14ac:dyDescent="0.35">
      <c r="B45" s="20">
        <f>IF(36&lt;='Underwriting Dashboard'!C12,36,"")</f>
        <v>36</v>
      </c>
      <c r="C45" s="21">
        <f t="shared" ca="1" si="4"/>
        <v>47178</v>
      </c>
      <c r="D45" s="22">
        <f t="shared" si="5"/>
        <v>119.69498878108918</v>
      </c>
      <c r="E45" s="22">
        <f>IF(B45&lt;&gt;"",'Underwriting Dashboard'!F9,"")</f>
        <v>801.32787853193918</v>
      </c>
      <c r="F45" s="22">
        <f>IF(B45&lt;&gt;"",PPMT('Underwriting Dashboard'!F8,36,'Underwriting Dashboard'!C12,-'Underwriting Dashboard'!F7),"")</f>
        <v>685.88741503771166</v>
      </c>
      <c r="G45" s="22">
        <f>IF(B45&lt;&gt;"",IPMT('Underwriting Dashboard'!F8,36,'Underwriting Dashboard'!C12,-'Underwriting Dashboard'!F7),"")</f>
        <v>115.44046349422757</v>
      </c>
      <c r="H45" s="22">
        <f t="shared" si="3"/>
        <v>-566.19242625662253</v>
      </c>
    </row>
    <row r="46" spans="2:8" ht="15" customHeight="1" x14ac:dyDescent="0.35">
      <c r="B46" s="17">
        <f>IF(37&lt;='Underwriting Dashboard'!C12,37,"")</f>
        <v>37</v>
      </c>
      <c r="C46" s="18">
        <f t="shared" ca="1" si="4"/>
        <v>47209</v>
      </c>
      <c r="D46" s="19">
        <f t="shared" si="5"/>
        <v>115.44046349422757</v>
      </c>
      <c r="E46" s="19">
        <f>IF(B46&lt;&gt;"",'Underwriting Dashboard'!F9,"")</f>
        <v>801.32787853193918</v>
      </c>
      <c r="F46" s="19">
        <f>IF(B46&lt;&gt;"",PPMT('Underwriting Dashboard'!F8,37,'Underwriting Dashboard'!C12,-'Underwriting Dashboard'!F7),"")</f>
        <v>690.16849565323866</v>
      </c>
      <c r="G46" s="19">
        <f>IF(B46&lt;&gt;"",IPMT('Underwriting Dashboard'!F8,37,'Underwriting Dashboard'!C12,-'Underwriting Dashboard'!F7),"")</f>
        <v>111.15938287870054</v>
      </c>
      <c r="H46" s="19">
        <f t="shared" si="3"/>
        <v>-574.72803215901104</v>
      </c>
    </row>
    <row r="47" spans="2:8" ht="15" customHeight="1" x14ac:dyDescent="0.35">
      <c r="B47" s="20">
        <f>IF(38&lt;='Underwriting Dashboard'!C12,38,"")</f>
        <v>38</v>
      </c>
      <c r="C47" s="21">
        <f t="shared" ca="1" si="4"/>
        <v>47239</v>
      </c>
      <c r="D47" s="22">
        <f t="shared" si="5"/>
        <v>111.15938287870054</v>
      </c>
      <c r="E47" s="22">
        <f>IF(B47&lt;&gt;"",'Underwriting Dashboard'!F9,"")</f>
        <v>801.32787853193918</v>
      </c>
      <c r="F47" s="22">
        <f>IF(B47&lt;&gt;"",PPMT('Underwriting Dashboard'!F8,38,'Underwriting Dashboard'!C12,-'Underwriting Dashboard'!F7),"")</f>
        <v>694.47629734694101</v>
      </c>
      <c r="G47" s="22">
        <f>IF(B47&lt;&gt;"",IPMT('Underwriting Dashboard'!F8,38,'Underwriting Dashboard'!C12,-'Underwriting Dashboard'!F7),"")</f>
        <v>106.85158118499824</v>
      </c>
      <c r="H47" s="22">
        <f t="shared" si="3"/>
        <v>-583.3169144682405</v>
      </c>
    </row>
    <row r="48" spans="2:8" ht="15" customHeight="1" x14ac:dyDescent="0.35">
      <c r="B48" s="17">
        <f>IF(39&lt;='Underwriting Dashboard'!C12,39,"")</f>
        <v>39</v>
      </c>
      <c r="C48" s="18">
        <f t="shared" ca="1" si="4"/>
        <v>47270</v>
      </c>
      <c r="D48" s="19">
        <f t="shared" si="5"/>
        <v>106.85158118499824</v>
      </c>
      <c r="E48" s="19">
        <f>IF(B48&lt;&gt;"",'Underwriting Dashboard'!F9,"")</f>
        <v>801.32787853193918</v>
      </c>
      <c r="F48" s="19">
        <f>IF(B48&lt;&gt;"",PPMT('Underwriting Dashboard'!F8,39,'Underwriting Dashboard'!C12,-'Underwriting Dashboard'!F7),"")</f>
        <v>698.81098690288138</v>
      </c>
      <c r="G48" s="19">
        <f>IF(B48&lt;&gt;"",IPMT('Underwriting Dashboard'!F8,39,'Underwriting Dashboard'!C12,-'Underwriting Dashboard'!F7),"")</f>
        <v>102.51689162905777</v>
      </c>
      <c r="H48" s="19">
        <f t="shared" si="3"/>
        <v>-591.9594057178831</v>
      </c>
    </row>
    <row r="49" spans="2:8" ht="15" customHeight="1" x14ac:dyDescent="0.35">
      <c r="B49" s="20">
        <f>IF(40&lt;='Underwriting Dashboard'!C12,40,"")</f>
        <v>40</v>
      </c>
      <c r="C49" s="21">
        <f t="shared" ca="1" si="4"/>
        <v>47300</v>
      </c>
      <c r="D49" s="22">
        <f t="shared" si="5"/>
        <v>102.51689162905777</v>
      </c>
      <c r="E49" s="22">
        <f>IF(B49&lt;&gt;"",'Underwriting Dashboard'!F9,"")</f>
        <v>801.32787853193918</v>
      </c>
      <c r="F49" s="22">
        <f>IF(B49&lt;&gt;"",PPMT('Underwriting Dashboard'!F8,40,'Underwriting Dashboard'!C12,-'Underwriting Dashboard'!F7),"")</f>
        <v>703.17273214613363</v>
      </c>
      <c r="G49" s="22">
        <f>IF(B49&lt;&gt;"",IPMT('Underwriting Dashboard'!F8,40,'Underwriting Dashboard'!C12,-'Underwriting Dashboard'!F7),"")</f>
        <v>98.155146385805608</v>
      </c>
      <c r="H49" s="22">
        <f t="shared" si="3"/>
        <v>-600.65584051707583</v>
      </c>
    </row>
    <row r="50" spans="2:8" ht="15" customHeight="1" x14ac:dyDescent="0.35">
      <c r="B50" s="17">
        <f>IF(41&lt;='Underwriting Dashboard'!C12,41,"")</f>
        <v>41</v>
      </c>
      <c r="C50" s="18">
        <f t="shared" ca="1" si="4"/>
        <v>47331</v>
      </c>
      <c r="D50" s="19">
        <f t="shared" si="5"/>
        <v>98.155146385805608</v>
      </c>
      <c r="E50" s="19">
        <f>IF(B50&lt;&gt;"",'Underwriting Dashboard'!F9,"")</f>
        <v>801.32787853193918</v>
      </c>
      <c r="F50" s="19">
        <f>IF(B50&lt;&gt;"",PPMT('Underwriting Dashboard'!F8,41,'Underwriting Dashboard'!C12,-'Underwriting Dashboard'!F7),"")</f>
        <v>707.56170194927904</v>
      </c>
      <c r="G50" s="19">
        <f>IF(B50&lt;&gt;"",IPMT('Underwriting Dashboard'!F8,41,'Underwriting Dashboard'!C12,-'Underwriting Dashboard'!F7),"")</f>
        <v>93.766176582660151</v>
      </c>
      <c r="H50" s="19">
        <f t="shared" si="3"/>
        <v>-609.40655556347338</v>
      </c>
    </row>
    <row r="51" spans="2:8" ht="15" customHeight="1" x14ac:dyDescent="0.35">
      <c r="B51" s="20">
        <f>IF(42&lt;='Underwriting Dashboard'!C12,42,"")</f>
        <v>42</v>
      </c>
      <c r="C51" s="21">
        <f t="shared" ca="1" si="4"/>
        <v>47362</v>
      </c>
      <c r="D51" s="22">
        <f t="shared" si="5"/>
        <v>93.766176582660151</v>
      </c>
      <c r="E51" s="22">
        <f>IF(B51&lt;&gt;"",'Underwriting Dashboard'!F9,"")</f>
        <v>801.32787853193918</v>
      </c>
      <c r="F51" s="22">
        <f>IF(B51&lt;&gt;"",PPMT('Underwriting Dashboard'!F8,42,'Underwriting Dashboard'!C12,-'Underwriting Dashboard'!F7),"")</f>
        <v>711.97806623894576</v>
      </c>
      <c r="G51" s="22">
        <f>IF(B51&lt;&gt;"",IPMT('Underwriting Dashboard'!F8,42,'Underwriting Dashboard'!C12,-'Underwriting Dashboard'!F7),"")</f>
        <v>89.349812292993406</v>
      </c>
      <c r="H51" s="22">
        <f t="shared" si="3"/>
        <v>-618.21188965628562</v>
      </c>
    </row>
    <row r="52" spans="2:8" ht="15" customHeight="1" x14ac:dyDescent="0.35">
      <c r="B52" s="17">
        <f>IF(43&lt;='Underwriting Dashboard'!C12,43,"")</f>
        <v>43</v>
      </c>
      <c r="C52" s="18">
        <f t="shared" ca="1" si="4"/>
        <v>47392</v>
      </c>
      <c r="D52" s="19">
        <f t="shared" si="5"/>
        <v>89.349812292993406</v>
      </c>
      <c r="E52" s="19">
        <f>IF(B52&lt;&gt;"",'Underwriting Dashboard'!F9,"")</f>
        <v>801.32787853193918</v>
      </c>
      <c r="F52" s="19">
        <f>IF(B52&lt;&gt;"",PPMT('Underwriting Dashboard'!F8,43,'Underwriting Dashboard'!C12,-'Underwriting Dashboard'!F7),"")</f>
        <v>716.42199600238723</v>
      </c>
      <c r="G52" s="19">
        <f>IF(B52&lt;&gt;"",IPMT('Underwriting Dashboard'!F8,43,'Underwriting Dashboard'!C12,-'Underwriting Dashboard'!F7),"")</f>
        <v>84.905882529552002</v>
      </c>
      <c r="H52" s="19">
        <f t="shared" si="3"/>
        <v>-627.07218370939381</v>
      </c>
    </row>
    <row r="53" spans="2:8" ht="15" customHeight="1" x14ac:dyDescent="0.35">
      <c r="B53" s="20">
        <f>IF(44&lt;='Underwriting Dashboard'!C12,44,"")</f>
        <v>44</v>
      </c>
      <c r="C53" s="21">
        <f t="shared" ca="1" si="4"/>
        <v>47423</v>
      </c>
      <c r="D53" s="22">
        <f t="shared" si="5"/>
        <v>84.905882529552002</v>
      </c>
      <c r="E53" s="22">
        <f>IF(B53&lt;&gt;"",'Underwriting Dashboard'!F9,"")</f>
        <v>801.32787853193918</v>
      </c>
      <c r="F53" s="22">
        <f>IF(B53&lt;&gt;"",PPMT('Underwriting Dashboard'!F8,44,'Underwriting Dashboard'!C12,-'Underwriting Dashboard'!F7),"")</f>
        <v>720.89366329410211</v>
      </c>
      <c r="G53" s="22">
        <f>IF(B53&lt;&gt;"",IPMT('Underwriting Dashboard'!F8,44,'Underwriting Dashboard'!C12,-'Underwriting Dashboard'!F7),"")</f>
        <v>80.43421523783708</v>
      </c>
      <c r="H53" s="22">
        <f t="shared" si="3"/>
        <v>-635.98778076455005</v>
      </c>
    </row>
    <row r="54" spans="2:8" ht="15" customHeight="1" x14ac:dyDescent="0.35">
      <c r="B54" s="17">
        <f>IF(45&lt;='Underwriting Dashboard'!C12,45,"")</f>
        <v>45</v>
      </c>
      <c r="C54" s="18">
        <f t="shared" ca="1" si="4"/>
        <v>47453</v>
      </c>
      <c r="D54" s="19">
        <f t="shared" si="5"/>
        <v>80.43421523783708</v>
      </c>
      <c r="E54" s="19">
        <f>IF(B54&lt;&gt;"",'Underwriting Dashboard'!F9,"")</f>
        <v>801.32787853193918</v>
      </c>
      <c r="F54" s="19">
        <f>IF(B54&lt;&gt;"",PPMT('Underwriting Dashboard'!F8,45,'Underwriting Dashboard'!C12,-'Underwriting Dashboard'!F7),"")</f>
        <v>725.39324124249617</v>
      </c>
      <c r="G54" s="19">
        <f>IF(B54&lt;&gt;"",IPMT('Underwriting Dashboard'!F8,45,'Underwriting Dashboard'!C12,-'Underwriting Dashboard'!F7),"")</f>
        <v>75.93463728944306</v>
      </c>
      <c r="H54" s="19">
        <f t="shared" si="3"/>
        <v>-644.95902600465911</v>
      </c>
    </row>
    <row r="55" spans="2:8" ht="15" customHeight="1" x14ac:dyDescent="0.35">
      <c r="B55" s="20">
        <f>IF(46&lt;='Underwriting Dashboard'!C12,46,"")</f>
        <v>46</v>
      </c>
      <c r="C55" s="21">
        <f t="shared" ca="1" si="4"/>
        <v>47484</v>
      </c>
      <c r="D55" s="22">
        <f t="shared" si="5"/>
        <v>75.93463728944306</v>
      </c>
      <c r="E55" s="22">
        <f>IF(B55&lt;&gt;"",'Underwriting Dashboard'!F9,"")</f>
        <v>801.32787853193918</v>
      </c>
      <c r="F55" s="22">
        <f>IF(B55&lt;&gt;"",PPMT('Underwriting Dashboard'!F8,46,'Underwriting Dashboard'!C12,-'Underwriting Dashboard'!F7),"")</f>
        <v>729.92090405658473</v>
      </c>
      <c r="G55" s="22">
        <f>IF(B55&lt;&gt;"",IPMT('Underwriting Dashboard'!F8,46,'Underwriting Dashboard'!C12,-'Underwriting Dashboard'!F7),"")</f>
        <v>71.406974475354488</v>
      </c>
      <c r="H55" s="22">
        <f t="shared" si="3"/>
        <v>-653.98626676714161</v>
      </c>
    </row>
    <row r="56" spans="2:8" ht="15" customHeight="1" x14ac:dyDescent="0.35">
      <c r="B56" s="17">
        <f>IF(47&lt;='Underwriting Dashboard'!C12,47,"")</f>
        <v>47</v>
      </c>
      <c r="C56" s="18">
        <f t="shared" ca="1" si="4"/>
        <v>47515</v>
      </c>
      <c r="D56" s="19">
        <f t="shared" si="5"/>
        <v>71.406974475354488</v>
      </c>
      <c r="E56" s="19">
        <f>IF(B56&lt;&gt;"",'Underwriting Dashboard'!F9,"")</f>
        <v>801.32787853193918</v>
      </c>
      <c r="F56" s="19">
        <f>IF(B56&lt;&gt;"",PPMT('Underwriting Dashboard'!F8,47,'Underwriting Dashboard'!C12,-'Underwriting Dashboard'!F7),"")</f>
        <v>734.4768270327379</v>
      </c>
      <c r="G56" s="19">
        <f>IF(B56&lt;&gt;"",IPMT('Underwriting Dashboard'!F8,47,'Underwriting Dashboard'!C12,-'Underwriting Dashboard'!F7),"")</f>
        <v>66.851051499201304</v>
      </c>
      <c r="H56" s="19">
        <f t="shared" si="3"/>
        <v>-663.06985255738346</v>
      </c>
    </row>
    <row r="57" spans="2:8" ht="15" customHeight="1" x14ac:dyDescent="0.35">
      <c r="B57" s="20">
        <f>IF(48&lt;='Underwriting Dashboard'!C12,48,"")</f>
        <v>48</v>
      </c>
      <c r="C57" s="21">
        <f t="shared" ca="1" si="4"/>
        <v>47543</v>
      </c>
      <c r="D57" s="22">
        <f t="shared" si="5"/>
        <v>66.851051499201304</v>
      </c>
      <c r="E57" s="22">
        <f>IF(B57&lt;&gt;"",'Underwriting Dashboard'!F9,"")</f>
        <v>801.32787853193918</v>
      </c>
      <c r="F57" s="22">
        <f>IF(B57&lt;&gt;"",PPMT('Underwriting Dashboard'!F8,48,'Underwriting Dashboard'!C12,-'Underwriting Dashboard'!F7),"")</f>
        <v>739.06118656146725</v>
      </c>
      <c r="G57" s="22">
        <f>IF(B57&lt;&gt;"",IPMT('Underwriting Dashboard'!F8,48,'Underwriting Dashboard'!C12,-'Underwriting Dashboard'!F7),"")</f>
        <v>62.266691970471975</v>
      </c>
      <c r="H57" s="22">
        <f t="shared" si="3"/>
        <v>-672.21013506226598</v>
      </c>
    </row>
    <row r="58" spans="2:8" ht="15" customHeight="1" x14ac:dyDescent="0.35">
      <c r="B58" s="17">
        <f>IF(49&lt;='Underwriting Dashboard'!C12,49,"")</f>
        <v>49</v>
      </c>
      <c r="C58" s="18">
        <f t="shared" ca="1" si="4"/>
        <v>47574</v>
      </c>
      <c r="D58" s="19">
        <f t="shared" si="5"/>
        <v>62.266691970471975</v>
      </c>
      <c r="E58" s="19">
        <f>IF(B58&lt;&gt;"",'Underwriting Dashboard'!F9,"")</f>
        <v>801.32787853193918</v>
      </c>
      <c r="F58" s="19">
        <f>IF(B58&lt;&gt;"",PPMT('Underwriting Dashboard'!F8,49,'Underwriting Dashboard'!C12,-'Underwriting Dashboard'!F7),"")</f>
        <v>743.67416013425498</v>
      </c>
      <c r="G58" s="19">
        <f>IF(B58&lt;&gt;"",IPMT('Underwriting Dashboard'!F8,49,'Underwriting Dashboard'!C12,-'Underwriting Dashboard'!F7),"")</f>
        <v>57.653718397684145</v>
      </c>
      <c r="H58" s="19">
        <f t="shared" si="3"/>
        <v>-681.40746816378305</v>
      </c>
    </row>
    <row r="59" spans="2:8" ht="15" customHeight="1" x14ac:dyDescent="0.35">
      <c r="B59" s="20">
        <f>IF(50&lt;='Underwriting Dashboard'!C12,50,"")</f>
        <v>50</v>
      </c>
      <c r="C59" s="21">
        <f t="shared" ca="1" si="4"/>
        <v>47604</v>
      </c>
      <c r="D59" s="22">
        <f t="shared" si="5"/>
        <v>57.653718397684145</v>
      </c>
      <c r="E59" s="22">
        <f>IF(B59&lt;&gt;"",'Underwriting Dashboard'!F9,"")</f>
        <v>801.32787853193918</v>
      </c>
      <c r="F59" s="22">
        <f>IF(B59&lt;&gt;"",PPMT('Underwriting Dashboard'!F8,50,'Underwriting Dashboard'!C12,-'Underwriting Dashboard'!F7),"")</f>
        <v>748.31592635042637</v>
      </c>
      <c r="G59" s="22">
        <f>IF(B59&lt;&gt;"",IPMT('Underwriting Dashboard'!F8,50,'Underwriting Dashboard'!C12,-'Underwriting Dashboard'!F7),"")</f>
        <v>53.011952181512839</v>
      </c>
      <c r="H59" s="22">
        <f t="shared" si="3"/>
        <v>-690.66220795274216</v>
      </c>
    </row>
    <row r="60" spans="2:8" ht="15" customHeight="1" x14ac:dyDescent="0.35">
      <c r="B60" s="17">
        <f>IF(51&lt;='Underwriting Dashboard'!C12,51,"")</f>
        <v>51</v>
      </c>
      <c r="C60" s="18">
        <f t="shared" ca="1" si="4"/>
        <v>47635</v>
      </c>
      <c r="D60" s="19">
        <f t="shared" si="5"/>
        <v>53.011952181512839</v>
      </c>
      <c r="E60" s="19">
        <f>IF(B60&lt;&gt;"",'Underwriting Dashboard'!F9,"")</f>
        <v>801.32787853193918</v>
      </c>
      <c r="F60" s="19">
        <f>IF(B60&lt;&gt;"",PPMT('Underwriting Dashboard'!F8,51,'Underwriting Dashboard'!C12,-'Underwriting Dashboard'!F7),"")</f>
        <v>752.98666492406369</v>
      </c>
      <c r="G60" s="19">
        <f>IF(B60&lt;&gt;"",IPMT('Underwriting Dashboard'!F8,51,'Underwriting Dashboard'!C12,-'Underwriting Dashboard'!F7),"")</f>
        <v>48.341213607875595</v>
      </c>
      <c r="H60" s="19">
        <f t="shared" si="3"/>
        <v>-699.97471274255088</v>
      </c>
    </row>
    <row r="61" spans="2:8" ht="15" customHeight="1" x14ac:dyDescent="0.35">
      <c r="B61" s="20">
        <f>IF(52&lt;='Underwriting Dashboard'!C12,52,"")</f>
        <v>52</v>
      </c>
      <c r="C61" s="21">
        <f t="shared" ca="1" si="4"/>
        <v>47665</v>
      </c>
      <c r="D61" s="22">
        <f t="shared" si="5"/>
        <v>48.341213607875595</v>
      </c>
      <c r="E61" s="22">
        <f>IF(B61&lt;&gt;"",'Underwriting Dashboard'!F9,"")</f>
        <v>801.32787853193918</v>
      </c>
      <c r="F61" s="22">
        <f>IF(B61&lt;&gt;"",PPMT('Underwriting Dashboard'!F8,52,'Underwriting Dashboard'!C12,-'Underwriting Dashboard'!F7),"")</f>
        <v>757.68655669096472</v>
      </c>
      <c r="G61" s="22">
        <f>IF(B61&lt;&gt;"",IPMT('Underwriting Dashboard'!F8,52,'Underwriting Dashboard'!C12,-'Underwriting Dashboard'!F7),"")</f>
        <v>43.641321840974562</v>
      </c>
      <c r="H61" s="22">
        <f t="shared" si="3"/>
        <v>-709.34534308308912</v>
      </c>
    </row>
    <row r="62" spans="2:8" ht="15" customHeight="1" x14ac:dyDescent="0.35">
      <c r="B62" s="17">
        <f>IF(53&lt;='Underwriting Dashboard'!C12,53,"")</f>
        <v>53</v>
      </c>
      <c r="C62" s="18">
        <f t="shared" ca="1" si="4"/>
        <v>47696</v>
      </c>
      <c r="D62" s="19">
        <f t="shared" si="5"/>
        <v>43.641321840974562</v>
      </c>
      <c r="E62" s="19">
        <f>IF(B62&lt;&gt;"",'Underwriting Dashboard'!F9,"")</f>
        <v>801.32787853193918</v>
      </c>
      <c r="F62" s="19">
        <f>IF(B62&lt;&gt;"",PPMT('Underwriting Dashboard'!F8,53,'Underwriting Dashboard'!C12,-'Underwriting Dashboard'!F7),"")</f>
        <v>762.41578361564416</v>
      </c>
      <c r="G62" s="19">
        <f>IF(B62&lt;&gt;"",IPMT('Underwriting Dashboard'!F8,53,'Underwriting Dashboard'!C12,-'Underwriting Dashboard'!F7),"")</f>
        <v>38.912094916295125</v>
      </c>
      <c r="H62" s="19">
        <f t="shared" si="3"/>
        <v>-718.77446177466959</v>
      </c>
    </row>
    <row r="63" spans="2:8" ht="15" customHeight="1" x14ac:dyDescent="0.35">
      <c r="B63" s="20">
        <f>IF(54&lt;='Underwriting Dashboard'!C12,54,"")</f>
        <v>54</v>
      </c>
      <c r="C63" s="21">
        <f t="shared" ca="1" si="4"/>
        <v>47727</v>
      </c>
      <c r="D63" s="22">
        <f t="shared" si="5"/>
        <v>38.912094916295125</v>
      </c>
      <c r="E63" s="22">
        <f>IF(B63&lt;&gt;"",'Underwriting Dashboard'!F9,"")</f>
        <v>801.32787853193918</v>
      </c>
      <c r="F63" s="22">
        <f>IF(B63&lt;&gt;"",PPMT('Underwriting Dashboard'!F8,54,'Underwriting Dashboard'!C12,-'Underwriting Dashboard'!F7),"")</f>
        <v>767.17452879837845</v>
      </c>
      <c r="G63" s="22">
        <f>IF(B63&lt;&gt;"",IPMT('Underwriting Dashboard'!F8,54,'Underwriting Dashboard'!C12,-'Underwriting Dashboard'!F7),"")</f>
        <v>34.153349733560816</v>
      </c>
      <c r="H63" s="22">
        <f t="shared" si="3"/>
        <v>-728.26243388208331</v>
      </c>
    </row>
    <row r="64" spans="2:8" ht="15" customHeight="1" x14ac:dyDescent="0.35">
      <c r="B64" s="17">
        <f>IF(55&lt;='Underwriting Dashboard'!C12,55,"")</f>
        <v>55</v>
      </c>
      <c r="C64" s="18">
        <f t="shared" ca="1" si="4"/>
        <v>47757</v>
      </c>
      <c r="D64" s="19">
        <f t="shared" si="5"/>
        <v>34.153349733560816</v>
      </c>
      <c r="E64" s="19">
        <f>IF(B64&lt;&gt;"",'Underwriting Dashboard'!F9,"")</f>
        <v>801.32787853193918</v>
      </c>
      <c r="F64" s="19">
        <f>IF(B64&lt;&gt;"",PPMT('Underwriting Dashboard'!F8,55,'Underwriting Dashboard'!C12,-'Underwriting Dashboard'!F7),"")</f>
        <v>771.96297648229495</v>
      </c>
      <c r="G64" s="19">
        <f>IF(B64&lt;&gt;"",IPMT('Underwriting Dashboard'!F8,55,'Underwriting Dashboard'!C12,-'Underwriting Dashboard'!F7),"")</f>
        <v>29.364902049644272</v>
      </c>
      <c r="H64" s="19">
        <f t="shared" si="3"/>
        <v>-737.8096267487341</v>
      </c>
    </row>
    <row r="65" spans="2:8" ht="15" customHeight="1" x14ac:dyDescent="0.35">
      <c r="B65" s="20">
        <f>IF(56&lt;='Underwriting Dashboard'!C12,56,"")</f>
        <v>56</v>
      </c>
      <c r="C65" s="21">
        <f t="shared" ca="1" si="4"/>
        <v>47788</v>
      </c>
      <c r="D65" s="22">
        <f t="shared" si="5"/>
        <v>29.364902049644272</v>
      </c>
      <c r="E65" s="22">
        <f>IF(B65&lt;&gt;"",'Underwriting Dashboard'!F9,"")</f>
        <v>801.32787853193918</v>
      </c>
      <c r="F65" s="22">
        <f>IF(B65&lt;&gt;"",PPMT('Underwriting Dashboard'!F8,56,'Underwriting Dashboard'!C12,-'Underwriting Dashboard'!F7),"")</f>
        <v>776.78131206050523</v>
      </c>
      <c r="G65" s="22">
        <f>IF(B65&lt;&gt;"",IPMT('Underwriting Dashboard'!F8,56,'Underwriting Dashboard'!C12,-'Underwriting Dashboard'!F7),"")</f>
        <v>24.546566471433948</v>
      </c>
      <c r="H65" s="22">
        <f t="shared" si="3"/>
        <v>-747.416410010861</v>
      </c>
    </row>
    <row r="66" spans="2:8" ht="15" customHeight="1" x14ac:dyDescent="0.35">
      <c r="B66" s="17">
        <f>IF(57&lt;='Underwriting Dashboard'!C12,57,"")</f>
        <v>57</v>
      </c>
      <c r="C66" s="18">
        <f t="shared" ca="1" si="4"/>
        <v>47818</v>
      </c>
      <c r="D66" s="19">
        <f t="shared" si="5"/>
        <v>24.546566471433948</v>
      </c>
      <c r="E66" s="19">
        <f>IF(B66&lt;&gt;"",'Underwriting Dashboard'!F9,"")</f>
        <v>801.32787853193918</v>
      </c>
      <c r="F66" s="19">
        <f>IF(B66&lt;&gt;"",PPMT('Underwriting Dashboard'!F8,57,'Underwriting Dashboard'!C12,-'Underwriting Dashboard'!F7),"")</f>
        <v>781.6297220832829</v>
      </c>
      <c r="G66" s="19">
        <f>IF(B66&lt;&gt;"",IPMT('Underwriting Dashboard'!F8,57,'Underwriting Dashboard'!C12,-'Underwriting Dashboard'!F7),"")</f>
        <v>19.698156448656295</v>
      </c>
      <c r="H66" s="19">
        <f t="shared" si="3"/>
        <v>-757.08315561184895</v>
      </c>
    </row>
    <row r="67" spans="2:8" ht="15" customHeight="1" x14ac:dyDescent="0.35">
      <c r="B67" s="20">
        <f>IF(58&lt;='Underwriting Dashboard'!C12,58,"")</f>
        <v>58</v>
      </c>
      <c r="C67" s="21">
        <f t="shared" ca="1" si="4"/>
        <v>47849</v>
      </c>
      <c r="D67" s="22">
        <f t="shared" si="5"/>
        <v>19.698156448656295</v>
      </c>
      <c r="E67" s="22">
        <f>IF(B67&lt;&gt;"",'Underwriting Dashboard'!F9,"")</f>
        <v>801.32787853193918</v>
      </c>
      <c r="F67" s="22">
        <f>IF(B67&lt;&gt;"",PPMT('Underwriting Dashboard'!F8,58,'Underwriting Dashboard'!C12,-'Underwriting Dashboard'!F7),"")</f>
        <v>786.50839426528603</v>
      </c>
      <c r="G67" s="22">
        <f>IF(B67&lt;&gt;"",IPMT('Underwriting Dashboard'!F8,58,'Underwriting Dashboard'!C12,-'Underwriting Dashboard'!F7),"")</f>
        <v>14.819484266653136</v>
      </c>
      <c r="H67" s="22">
        <f t="shared" si="3"/>
        <v>-766.81023781662975</v>
      </c>
    </row>
    <row r="68" spans="2:8" ht="15" customHeight="1" x14ac:dyDescent="0.35">
      <c r="B68" s="17">
        <f>IF(59&lt;='Underwriting Dashboard'!C12,59,"")</f>
        <v>59</v>
      </c>
      <c r="C68" s="18">
        <f t="shared" ca="1" si="4"/>
        <v>47880</v>
      </c>
      <c r="D68" s="19">
        <f t="shared" si="5"/>
        <v>14.819484266653136</v>
      </c>
      <c r="E68" s="19">
        <f>IF(B68&lt;&gt;"",'Underwriting Dashboard'!F9,"")</f>
        <v>801.32787853193918</v>
      </c>
      <c r="F68" s="19">
        <f>IF(B68&lt;&gt;"",PPMT('Underwriting Dashboard'!F8,59,'Underwriting Dashboard'!C12,-'Underwriting Dashboard'!F7),"")</f>
        <v>791.41751749282525</v>
      </c>
      <c r="G68" s="19">
        <f>IF(B68&lt;&gt;"",IPMT('Underwriting Dashboard'!F8,59,'Underwriting Dashboard'!C12,-'Underwriting Dashboard'!F7),"")</f>
        <v>9.9103610391139743</v>
      </c>
      <c r="H68" s="19">
        <f t="shared" si="3"/>
        <v>-776.59803322617211</v>
      </c>
    </row>
    <row r="69" spans="2:8" ht="15" customHeight="1" x14ac:dyDescent="0.35">
      <c r="B69" s="20">
        <f>IF(60&lt;='Underwriting Dashboard'!C12,60,"")</f>
        <v>60</v>
      </c>
      <c r="C69" s="21">
        <f t="shared" ca="1" si="4"/>
        <v>47908</v>
      </c>
      <c r="D69" s="22">
        <f t="shared" si="5"/>
        <v>9.9103610391139743</v>
      </c>
      <c r="E69" s="22">
        <f>IF(B69&lt;&gt;"",'Underwriting Dashboard'!F9,"")</f>
        <v>801.32787853193918</v>
      </c>
      <c r="F69" s="22">
        <f>IF(B69&lt;&gt;"",PPMT('Underwriting Dashboard'!F8,60,'Underwriting Dashboard'!C12,-'Underwriting Dashboard'!F7),"")</f>
        <v>796.35728183117624</v>
      </c>
      <c r="G69" s="22">
        <f>IF(B69&lt;&gt;"",IPMT('Underwriting Dashboard'!F8,60,'Underwriting Dashboard'!C12,-'Underwriting Dashboard'!F7),"")</f>
        <v>4.9705967007629255</v>
      </c>
      <c r="H69" s="22">
        <f t="shared" si="3"/>
        <v>-786.44692079206231</v>
      </c>
    </row>
    <row r="70" spans="2:8" ht="15" customHeight="1" x14ac:dyDescent="0.35">
      <c r="B70" s="17" t="str">
        <f>IF(61&lt;='Underwriting Dashboard'!C12,61,"")</f>
        <v/>
      </c>
      <c r="C70" s="18" t="str">
        <f t="shared" si="4"/>
        <v/>
      </c>
      <c r="D70" s="19" t="str">
        <f t="shared" si="5"/>
        <v/>
      </c>
      <c r="E70" s="19" t="str">
        <f>IF(B70&lt;&gt;"",'Underwriting Dashboard'!F9,"")</f>
        <v/>
      </c>
      <c r="F70" s="19" t="str">
        <f>IF(B70&lt;&gt;"",PPMT('Underwriting Dashboard'!F8,61,'Underwriting Dashboard'!C12,-'Underwriting Dashboard'!F7),"")</f>
        <v/>
      </c>
      <c r="G70" s="19" t="str">
        <f>IF(B70&lt;&gt;"",IPMT('Underwriting Dashboard'!F8,61,'Underwriting Dashboard'!C12,-'Underwriting Dashboard'!F7),"")</f>
        <v/>
      </c>
      <c r="H70" s="19" t="str">
        <f t="shared" si="3"/>
        <v/>
      </c>
    </row>
    <row r="71" spans="2:8" ht="15" customHeight="1" x14ac:dyDescent="0.35">
      <c r="B71" s="20" t="str">
        <f>IF(62&lt;='Underwriting Dashboard'!C12,62,"")</f>
        <v/>
      </c>
      <c r="C71" s="21" t="str">
        <f t="shared" si="4"/>
        <v/>
      </c>
      <c r="D71" s="22" t="str">
        <f t="shared" si="5"/>
        <v/>
      </c>
      <c r="E71" s="22" t="str">
        <f>IF(B71&lt;&gt;"",'Underwriting Dashboard'!F9,"")</f>
        <v/>
      </c>
      <c r="F71" s="22" t="str">
        <f>IF(B71&lt;&gt;"",PPMT('Underwriting Dashboard'!F8,62,'Underwriting Dashboard'!C12,-'Underwriting Dashboard'!F7),"")</f>
        <v/>
      </c>
      <c r="G71" s="22" t="str">
        <f>IF(B71&lt;&gt;"",IPMT('Underwriting Dashboard'!F8,62,'Underwriting Dashboard'!C12,-'Underwriting Dashboard'!F7),"")</f>
        <v/>
      </c>
      <c r="H71" s="22" t="str">
        <f t="shared" si="3"/>
        <v/>
      </c>
    </row>
    <row r="72" spans="2:8" ht="15" customHeight="1" x14ac:dyDescent="0.35">
      <c r="B72" s="17" t="str">
        <f>IF(63&lt;='Underwriting Dashboard'!C12,63,"")</f>
        <v/>
      </c>
      <c r="C72" s="18" t="str">
        <f t="shared" si="4"/>
        <v/>
      </c>
      <c r="D72" s="19" t="str">
        <f t="shared" si="5"/>
        <v/>
      </c>
      <c r="E72" s="19" t="str">
        <f>IF(B72&lt;&gt;"",'Underwriting Dashboard'!F9,"")</f>
        <v/>
      </c>
      <c r="F72" s="19" t="str">
        <f>IF(B72&lt;&gt;"",PPMT('Underwriting Dashboard'!F8,63,'Underwriting Dashboard'!C12,-'Underwriting Dashboard'!F7),"")</f>
        <v/>
      </c>
      <c r="G72" s="19" t="str">
        <f>IF(B72&lt;&gt;"",IPMT('Underwriting Dashboard'!F8,63,'Underwriting Dashboard'!C12,-'Underwriting Dashboard'!F7),"")</f>
        <v/>
      </c>
      <c r="H72" s="19" t="str">
        <f t="shared" si="3"/>
        <v/>
      </c>
    </row>
    <row r="73" spans="2:8" ht="15" customHeight="1" x14ac:dyDescent="0.35">
      <c r="B73" s="20" t="str">
        <f>IF(64&lt;='Underwriting Dashboard'!C12,64,"")</f>
        <v/>
      </c>
      <c r="C73" s="21" t="str">
        <f t="shared" si="4"/>
        <v/>
      </c>
      <c r="D73" s="22" t="str">
        <f t="shared" si="5"/>
        <v/>
      </c>
      <c r="E73" s="22" t="str">
        <f>IF(B73&lt;&gt;"",'Underwriting Dashboard'!F9,"")</f>
        <v/>
      </c>
      <c r="F73" s="22" t="str">
        <f>IF(B73&lt;&gt;"",PPMT('Underwriting Dashboard'!F8,64,'Underwriting Dashboard'!C12,-'Underwriting Dashboard'!F7),"")</f>
        <v/>
      </c>
      <c r="G73" s="22" t="str">
        <f>IF(B73&lt;&gt;"",IPMT('Underwriting Dashboard'!F8,64,'Underwriting Dashboard'!C12,-'Underwriting Dashboard'!F7),"")</f>
        <v/>
      </c>
      <c r="H73" s="22" t="str">
        <f t="shared" si="3"/>
        <v/>
      </c>
    </row>
    <row r="74" spans="2:8" ht="15" customHeight="1" x14ac:dyDescent="0.35">
      <c r="B74" s="17" t="str">
        <f>IF(65&lt;='Underwriting Dashboard'!C12,65,"")</f>
        <v/>
      </c>
      <c r="C74" s="18" t="str">
        <f t="shared" si="4"/>
        <v/>
      </c>
      <c r="D74" s="19" t="str">
        <f t="shared" si="5"/>
        <v/>
      </c>
      <c r="E74" s="19" t="str">
        <f>IF(B74&lt;&gt;"",'Underwriting Dashboard'!F9,"")</f>
        <v/>
      </c>
      <c r="F74" s="19" t="str">
        <f>IF(B74&lt;&gt;"",PPMT('Underwriting Dashboard'!F8,65,'Underwriting Dashboard'!C12,-'Underwriting Dashboard'!F7),"")</f>
        <v/>
      </c>
      <c r="G74" s="19" t="str">
        <f>IF(B74&lt;&gt;"",IPMT('Underwriting Dashboard'!F8,65,'Underwriting Dashboard'!C12,-'Underwriting Dashboard'!F7),"")</f>
        <v/>
      </c>
      <c r="H74" s="19" t="str">
        <f t="shared" ref="H74:H93" si="6">IF(B74&lt;&gt;"",D74-F74,"")</f>
        <v/>
      </c>
    </row>
    <row r="75" spans="2:8" ht="15" customHeight="1" x14ac:dyDescent="0.35">
      <c r="B75" s="20" t="str">
        <f>IF(66&lt;='Underwriting Dashboard'!C12,66,"")</f>
        <v/>
      </c>
      <c r="C75" s="21" t="str">
        <f t="shared" ref="C75:C106" si="7">IF(B75&lt;&gt;"",EDATE(C74,1),"")</f>
        <v/>
      </c>
      <c r="D75" s="22" t="str">
        <f t="shared" ref="D75:D93" si="8">IF(B75&lt;&gt;"",G74,"")</f>
        <v/>
      </c>
      <c r="E75" s="22" t="str">
        <f>IF(B75&lt;&gt;"",'Underwriting Dashboard'!F9,"")</f>
        <v/>
      </c>
      <c r="F75" s="22" t="str">
        <f>IF(B75&lt;&gt;"",PPMT('Underwriting Dashboard'!F8,66,'Underwriting Dashboard'!C12,-'Underwriting Dashboard'!F7),"")</f>
        <v/>
      </c>
      <c r="G75" s="22" t="str">
        <f>IF(B75&lt;&gt;"",IPMT('Underwriting Dashboard'!F8,66,'Underwriting Dashboard'!C12,-'Underwriting Dashboard'!F7),"")</f>
        <v/>
      </c>
      <c r="H75" s="22" t="str">
        <f t="shared" si="6"/>
        <v/>
      </c>
    </row>
    <row r="76" spans="2:8" ht="15" customHeight="1" x14ac:dyDescent="0.35">
      <c r="B76" s="17" t="str">
        <f>IF(67&lt;='Underwriting Dashboard'!C12,67,"")</f>
        <v/>
      </c>
      <c r="C76" s="18" t="str">
        <f t="shared" si="7"/>
        <v/>
      </c>
      <c r="D76" s="19" t="str">
        <f t="shared" si="8"/>
        <v/>
      </c>
      <c r="E76" s="19" t="str">
        <f>IF(B76&lt;&gt;"",'Underwriting Dashboard'!F9,"")</f>
        <v/>
      </c>
      <c r="F76" s="19" t="str">
        <f>IF(B76&lt;&gt;"",PPMT('Underwriting Dashboard'!F8,67,'Underwriting Dashboard'!C12,-'Underwriting Dashboard'!F7),"")</f>
        <v/>
      </c>
      <c r="G76" s="19" t="str">
        <f>IF(B76&lt;&gt;"",IPMT('Underwriting Dashboard'!F8,67,'Underwriting Dashboard'!C12,-'Underwriting Dashboard'!F7),"")</f>
        <v/>
      </c>
      <c r="H76" s="19" t="str">
        <f t="shared" si="6"/>
        <v/>
      </c>
    </row>
    <row r="77" spans="2:8" ht="15" customHeight="1" x14ac:dyDescent="0.35">
      <c r="B77" s="20" t="str">
        <f>IF(68&lt;='Underwriting Dashboard'!C12,68,"")</f>
        <v/>
      </c>
      <c r="C77" s="21" t="str">
        <f t="shared" si="7"/>
        <v/>
      </c>
      <c r="D77" s="22" t="str">
        <f t="shared" si="8"/>
        <v/>
      </c>
      <c r="E77" s="22" t="str">
        <f>IF(B77&lt;&gt;"",'Underwriting Dashboard'!F9,"")</f>
        <v/>
      </c>
      <c r="F77" s="22" t="str">
        <f>IF(B77&lt;&gt;"",PPMT('Underwriting Dashboard'!F8,68,'Underwriting Dashboard'!C12,-'Underwriting Dashboard'!F7),"")</f>
        <v/>
      </c>
      <c r="G77" s="22" t="str">
        <f>IF(B77&lt;&gt;"",IPMT('Underwriting Dashboard'!F8,68,'Underwriting Dashboard'!C12,-'Underwriting Dashboard'!F7),"")</f>
        <v/>
      </c>
      <c r="H77" s="22" t="str">
        <f t="shared" si="6"/>
        <v/>
      </c>
    </row>
    <row r="78" spans="2:8" ht="15" customHeight="1" x14ac:dyDescent="0.35">
      <c r="B78" s="17" t="str">
        <f>IF(69&lt;='Underwriting Dashboard'!C12,69,"")</f>
        <v/>
      </c>
      <c r="C78" s="18" t="str">
        <f t="shared" si="7"/>
        <v/>
      </c>
      <c r="D78" s="19" t="str">
        <f t="shared" si="8"/>
        <v/>
      </c>
      <c r="E78" s="19" t="str">
        <f>IF(B78&lt;&gt;"",'Underwriting Dashboard'!F9,"")</f>
        <v/>
      </c>
      <c r="F78" s="19" t="str">
        <f>IF(B78&lt;&gt;"",PPMT('Underwriting Dashboard'!F8,69,'Underwriting Dashboard'!C12,-'Underwriting Dashboard'!F7),"")</f>
        <v/>
      </c>
      <c r="G78" s="19" t="str">
        <f>IF(B78&lt;&gt;"",IPMT('Underwriting Dashboard'!F8,69,'Underwriting Dashboard'!C12,-'Underwriting Dashboard'!F7),"")</f>
        <v/>
      </c>
      <c r="H78" s="19" t="str">
        <f t="shared" si="6"/>
        <v/>
      </c>
    </row>
    <row r="79" spans="2:8" ht="15" customHeight="1" x14ac:dyDescent="0.35">
      <c r="B79" s="20" t="str">
        <f>IF(70&lt;='Underwriting Dashboard'!C12,70,"")</f>
        <v/>
      </c>
      <c r="C79" s="21" t="str">
        <f t="shared" si="7"/>
        <v/>
      </c>
      <c r="D79" s="22" t="str">
        <f t="shared" si="8"/>
        <v/>
      </c>
      <c r="E79" s="22" t="str">
        <f>IF(B79&lt;&gt;"",'Underwriting Dashboard'!F9,"")</f>
        <v/>
      </c>
      <c r="F79" s="22" t="str">
        <f>IF(B79&lt;&gt;"",PPMT('Underwriting Dashboard'!F8,70,'Underwriting Dashboard'!C12,-'Underwriting Dashboard'!F7),"")</f>
        <v/>
      </c>
      <c r="G79" s="22" t="str">
        <f>IF(B79&lt;&gt;"",IPMT('Underwriting Dashboard'!F8,70,'Underwriting Dashboard'!C12,-'Underwriting Dashboard'!F7),"")</f>
        <v/>
      </c>
      <c r="H79" s="22" t="str">
        <f t="shared" si="6"/>
        <v/>
      </c>
    </row>
    <row r="80" spans="2:8" ht="15" customHeight="1" x14ac:dyDescent="0.35">
      <c r="B80" s="17" t="str">
        <f>IF(71&lt;='Underwriting Dashboard'!C12,71,"")</f>
        <v/>
      </c>
      <c r="C80" s="18" t="str">
        <f t="shared" si="7"/>
        <v/>
      </c>
      <c r="D80" s="19" t="str">
        <f t="shared" si="8"/>
        <v/>
      </c>
      <c r="E80" s="19" t="str">
        <f>IF(B80&lt;&gt;"",'Underwriting Dashboard'!F9,"")</f>
        <v/>
      </c>
      <c r="F80" s="19" t="str">
        <f>IF(B80&lt;&gt;"",PPMT('Underwriting Dashboard'!F8,71,'Underwriting Dashboard'!C12,-'Underwriting Dashboard'!F7),"")</f>
        <v/>
      </c>
      <c r="G80" s="19" t="str">
        <f>IF(B80&lt;&gt;"",IPMT('Underwriting Dashboard'!F8,71,'Underwriting Dashboard'!C12,-'Underwriting Dashboard'!F7),"")</f>
        <v/>
      </c>
      <c r="H80" s="19" t="str">
        <f t="shared" si="6"/>
        <v/>
      </c>
    </row>
    <row r="81" spans="2:8" ht="15" customHeight="1" x14ac:dyDescent="0.35">
      <c r="B81" s="20" t="str">
        <f>IF(72&lt;='Underwriting Dashboard'!C12,72,"")</f>
        <v/>
      </c>
      <c r="C81" s="21" t="str">
        <f t="shared" si="7"/>
        <v/>
      </c>
      <c r="D81" s="22" t="str">
        <f t="shared" si="8"/>
        <v/>
      </c>
      <c r="E81" s="22" t="str">
        <f>IF(B81&lt;&gt;"",'Underwriting Dashboard'!F9,"")</f>
        <v/>
      </c>
      <c r="F81" s="22" t="str">
        <f>IF(B81&lt;&gt;"",PPMT('Underwriting Dashboard'!F8,72,'Underwriting Dashboard'!C12,-'Underwriting Dashboard'!F7),"")</f>
        <v/>
      </c>
      <c r="G81" s="22" t="str">
        <f>IF(B81&lt;&gt;"",IPMT('Underwriting Dashboard'!F8,72,'Underwriting Dashboard'!C12,-'Underwriting Dashboard'!F7),"")</f>
        <v/>
      </c>
      <c r="H81" s="22" t="str">
        <f t="shared" si="6"/>
        <v/>
      </c>
    </row>
    <row r="82" spans="2:8" ht="15" customHeight="1" x14ac:dyDescent="0.35">
      <c r="B82" s="17" t="str">
        <f>IF(73&lt;='Underwriting Dashboard'!C12,73,"")</f>
        <v/>
      </c>
      <c r="C82" s="18" t="str">
        <f t="shared" si="7"/>
        <v/>
      </c>
      <c r="D82" s="19" t="str">
        <f t="shared" si="8"/>
        <v/>
      </c>
      <c r="E82" s="19" t="str">
        <f>IF(B82&lt;&gt;"",'Underwriting Dashboard'!F9,"")</f>
        <v/>
      </c>
      <c r="F82" s="19" t="str">
        <f>IF(B82&lt;&gt;"",PPMT('Underwriting Dashboard'!F8,73,'Underwriting Dashboard'!C12,-'Underwriting Dashboard'!F7),"")</f>
        <v/>
      </c>
      <c r="G82" s="19" t="str">
        <f>IF(B82&lt;&gt;"",IPMT('Underwriting Dashboard'!F8,73,'Underwriting Dashboard'!C12,-'Underwriting Dashboard'!F7),"")</f>
        <v/>
      </c>
      <c r="H82" s="19" t="str">
        <f t="shared" si="6"/>
        <v/>
      </c>
    </row>
    <row r="83" spans="2:8" ht="15" customHeight="1" x14ac:dyDescent="0.35">
      <c r="B83" s="20" t="str">
        <f>IF(74&lt;='Underwriting Dashboard'!C12,74,"")</f>
        <v/>
      </c>
      <c r="C83" s="21" t="str">
        <f t="shared" si="7"/>
        <v/>
      </c>
      <c r="D83" s="22" t="str">
        <f t="shared" si="8"/>
        <v/>
      </c>
      <c r="E83" s="22" t="str">
        <f>IF(B83&lt;&gt;"",'Underwriting Dashboard'!F9,"")</f>
        <v/>
      </c>
      <c r="F83" s="22" t="str">
        <f>IF(B83&lt;&gt;"",PPMT('Underwriting Dashboard'!F8,74,'Underwriting Dashboard'!C12,-'Underwriting Dashboard'!F7),"")</f>
        <v/>
      </c>
      <c r="G83" s="22" t="str">
        <f>IF(B83&lt;&gt;"",IPMT('Underwriting Dashboard'!F8,74,'Underwriting Dashboard'!C12,-'Underwriting Dashboard'!F7),"")</f>
        <v/>
      </c>
      <c r="H83" s="22" t="str">
        <f t="shared" si="6"/>
        <v/>
      </c>
    </row>
    <row r="84" spans="2:8" ht="15" customHeight="1" x14ac:dyDescent="0.35">
      <c r="B84" s="17" t="str">
        <f>IF(75&lt;='Underwriting Dashboard'!C12,75,"")</f>
        <v/>
      </c>
      <c r="C84" s="18" t="str">
        <f t="shared" si="7"/>
        <v/>
      </c>
      <c r="D84" s="19" t="str">
        <f t="shared" si="8"/>
        <v/>
      </c>
      <c r="E84" s="19" t="str">
        <f>IF(B84&lt;&gt;"",'Underwriting Dashboard'!F9,"")</f>
        <v/>
      </c>
      <c r="F84" s="19" t="str">
        <f>IF(B84&lt;&gt;"",PPMT('Underwriting Dashboard'!F8,75,'Underwriting Dashboard'!C12,-'Underwriting Dashboard'!F7),"")</f>
        <v/>
      </c>
      <c r="G84" s="19" t="str">
        <f>IF(B84&lt;&gt;"",IPMT('Underwriting Dashboard'!F8,75,'Underwriting Dashboard'!C12,-'Underwriting Dashboard'!F7),"")</f>
        <v/>
      </c>
      <c r="H84" s="19" t="str">
        <f t="shared" si="6"/>
        <v/>
      </c>
    </row>
    <row r="85" spans="2:8" ht="15" customHeight="1" x14ac:dyDescent="0.35">
      <c r="B85" s="20" t="str">
        <f>IF(76&lt;='Underwriting Dashboard'!C12,76,"")</f>
        <v/>
      </c>
      <c r="C85" s="21" t="str">
        <f t="shared" si="7"/>
        <v/>
      </c>
      <c r="D85" s="22" t="str">
        <f t="shared" si="8"/>
        <v/>
      </c>
      <c r="E85" s="22" t="str">
        <f>IF(B85&lt;&gt;"",'Underwriting Dashboard'!F9,"")</f>
        <v/>
      </c>
      <c r="F85" s="22" t="str">
        <f>IF(B85&lt;&gt;"",PPMT('Underwriting Dashboard'!F8,76,'Underwriting Dashboard'!C12,-'Underwriting Dashboard'!F7),"")</f>
        <v/>
      </c>
      <c r="G85" s="22" t="str">
        <f>IF(B85&lt;&gt;"",IPMT('Underwriting Dashboard'!F8,76,'Underwriting Dashboard'!C12,-'Underwriting Dashboard'!F7),"")</f>
        <v/>
      </c>
      <c r="H85" s="22" t="str">
        <f t="shared" si="6"/>
        <v/>
      </c>
    </row>
    <row r="86" spans="2:8" ht="15" customHeight="1" x14ac:dyDescent="0.35">
      <c r="B86" s="17" t="str">
        <f>IF(77&lt;='Underwriting Dashboard'!C12,77,"")</f>
        <v/>
      </c>
      <c r="C86" s="18" t="str">
        <f t="shared" si="7"/>
        <v/>
      </c>
      <c r="D86" s="19" t="str">
        <f t="shared" si="8"/>
        <v/>
      </c>
      <c r="E86" s="19" t="str">
        <f>IF(B86&lt;&gt;"",'Underwriting Dashboard'!F9,"")</f>
        <v/>
      </c>
      <c r="F86" s="19" t="str">
        <f>IF(B86&lt;&gt;"",PPMT('Underwriting Dashboard'!F8,77,'Underwriting Dashboard'!C12,-'Underwriting Dashboard'!F7),"")</f>
        <v/>
      </c>
      <c r="G86" s="19" t="str">
        <f>IF(B86&lt;&gt;"",IPMT('Underwriting Dashboard'!F8,77,'Underwriting Dashboard'!C12,-'Underwriting Dashboard'!F7),"")</f>
        <v/>
      </c>
      <c r="H86" s="19" t="str">
        <f t="shared" si="6"/>
        <v/>
      </c>
    </row>
    <row r="87" spans="2:8" ht="15" customHeight="1" x14ac:dyDescent="0.35">
      <c r="B87" s="20" t="str">
        <f>IF(78&lt;='Underwriting Dashboard'!C12,78,"")</f>
        <v/>
      </c>
      <c r="C87" s="21" t="str">
        <f t="shared" si="7"/>
        <v/>
      </c>
      <c r="D87" s="22" t="str">
        <f t="shared" si="8"/>
        <v/>
      </c>
      <c r="E87" s="22" t="str">
        <f>IF(B87&lt;&gt;"",'Underwriting Dashboard'!F9,"")</f>
        <v/>
      </c>
      <c r="F87" s="22" t="str">
        <f>IF(B87&lt;&gt;"",PPMT('Underwriting Dashboard'!F8,78,'Underwriting Dashboard'!C12,-'Underwriting Dashboard'!F7),"")</f>
        <v/>
      </c>
      <c r="G87" s="22" t="str">
        <f>IF(B87&lt;&gt;"",IPMT('Underwriting Dashboard'!F8,78,'Underwriting Dashboard'!C12,-'Underwriting Dashboard'!F7),"")</f>
        <v/>
      </c>
      <c r="H87" s="22" t="str">
        <f t="shared" si="6"/>
        <v/>
      </c>
    </row>
    <row r="88" spans="2:8" ht="15" customHeight="1" x14ac:dyDescent="0.35">
      <c r="B88" s="17" t="str">
        <f>IF(79&lt;='Underwriting Dashboard'!C12,79,"")</f>
        <v/>
      </c>
      <c r="C88" s="18" t="str">
        <f t="shared" si="7"/>
        <v/>
      </c>
      <c r="D88" s="19" t="str">
        <f t="shared" si="8"/>
        <v/>
      </c>
      <c r="E88" s="19" t="str">
        <f>IF(B88&lt;&gt;"",'Underwriting Dashboard'!F9,"")</f>
        <v/>
      </c>
      <c r="F88" s="19" t="str">
        <f>IF(B88&lt;&gt;"",PPMT('Underwriting Dashboard'!F8,79,'Underwriting Dashboard'!C12,-'Underwriting Dashboard'!F7),"")</f>
        <v/>
      </c>
      <c r="G88" s="19" t="str">
        <f>IF(B88&lt;&gt;"",IPMT('Underwriting Dashboard'!F8,79,'Underwriting Dashboard'!C12,-'Underwriting Dashboard'!F7),"")</f>
        <v/>
      </c>
      <c r="H88" s="19" t="str">
        <f t="shared" si="6"/>
        <v/>
      </c>
    </row>
    <row r="89" spans="2:8" ht="15" customHeight="1" x14ac:dyDescent="0.35">
      <c r="B89" s="20" t="str">
        <f>IF(80&lt;='Underwriting Dashboard'!C12,80,"")</f>
        <v/>
      </c>
      <c r="C89" s="21" t="str">
        <f t="shared" si="7"/>
        <v/>
      </c>
      <c r="D89" s="22" t="str">
        <f t="shared" si="8"/>
        <v/>
      </c>
      <c r="E89" s="22" t="str">
        <f>IF(B89&lt;&gt;"",'Underwriting Dashboard'!F9,"")</f>
        <v/>
      </c>
      <c r="F89" s="22" t="str">
        <f>IF(B89&lt;&gt;"",PPMT('Underwriting Dashboard'!F8,80,'Underwriting Dashboard'!C12,-'Underwriting Dashboard'!F7),"")</f>
        <v/>
      </c>
      <c r="G89" s="22" t="str">
        <f>IF(B89&lt;&gt;"",IPMT('Underwriting Dashboard'!F8,80,'Underwriting Dashboard'!C12,-'Underwriting Dashboard'!F7),"")</f>
        <v/>
      </c>
      <c r="H89" s="22" t="str">
        <f t="shared" si="6"/>
        <v/>
      </c>
    </row>
    <row r="90" spans="2:8" ht="15" customHeight="1" x14ac:dyDescent="0.35">
      <c r="B90" s="17" t="str">
        <f>IF(81&lt;='Underwriting Dashboard'!C12,81,"")</f>
        <v/>
      </c>
      <c r="C90" s="18" t="str">
        <f t="shared" si="7"/>
        <v/>
      </c>
      <c r="D90" s="19" t="str">
        <f t="shared" si="8"/>
        <v/>
      </c>
      <c r="E90" s="19" t="str">
        <f>IF(B90&lt;&gt;"",'Underwriting Dashboard'!F9,"")</f>
        <v/>
      </c>
      <c r="F90" s="19" t="str">
        <f>IF(B90&lt;&gt;"",PPMT('Underwriting Dashboard'!F8,81,'Underwriting Dashboard'!C12,-'Underwriting Dashboard'!F7),"")</f>
        <v/>
      </c>
      <c r="G90" s="19" t="str">
        <f>IF(B90&lt;&gt;"",IPMT('Underwriting Dashboard'!F8,81,'Underwriting Dashboard'!C12,-'Underwriting Dashboard'!F7),"")</f>
        <v/>
      </c>
      <c r="H90" s="19" t="str">
        <f t="shared" si="6"/>
        <v/>
      </c>
    </row>
    <row r="91" spans="2:8" ht="15" customHeight="1" x14ac:dyDescent="0.35">
      <c r="B91" s="20" t="str">
        <f>IF(82&lt;='Underwriting Dashboard'!C12,82,"")</f>
        <v/>
      </c>
      <c r="C91" s="21" t="str">
        <f t="shared" si="7"/>
        <v/>
      </c>
      <c r="D91" s="22" t="str">
        <f t="shared" si="8"/>
        <v/>
      </c>
      <c r="E91" s="22" t="str">
        <f>IF(B91&lt;&gt;"",'Underwriting Dashboard'!F9,"")</f>
        <v/>
      </c>
      <c r="F91" s="22" t="str">
        <f>IF(B91&lt;&gt;"",PPMT('Underwriting Dashboard'!F8,82,'Underwriting Dashboard'!C12,-'Underwriting Dashboard'!F7),"")</f>
        <v/>
      </c>
      <c r="G91" s="22" t="str">
        <f>IF(B91&lt;&gt;"",IPMT('Underwriting Dashboard'!F8,82,'Underwriting Dashboard'!C12,-'Underwriting Dashboard'!F7),"")</f>
        <v/>
      </c>
      <c r="H91" s="22" t="str">
        <f t="shared" si="6"/>
        <v/>
      </c>
    </row>
    <row r="92" spans="2:8" ht="15" customHeight="1" x14ac:dyDescent="0.35">
      <c r="B92" s="17" t="str">
        <f>IF(83&lt;='Underwriting Dashboard'!C12,83,"")</f>
        <v/>
      </c>
      <c r="C92" s="18" t="str">
        <f t="shared" si="7"/>
        <v/>
      </c>
      <c r="D92" s="19" t="str">
        <f t="shared" si="8"/>
        <v/>
      </c>
      <c r="E92" s="19" t="str">
        <f>IF(B92&lt;&gt;"",'Underwriting Dashboard'!F9,"")</f>
        <v/>
      </c>
      <c r="F92" s="19" t="str">
        <f>IF(B92&lt;&gt;"",PPMT('Underwriting Dashboard'!F8,83,'Underwriting Dashboard'!C12,-'Underwriting Dashboard'!F7),"")</f>
        <v/>
      </c>
      <c r="G92" s="19" t="str">
        <f>IF(B92&lt;&gt;"",IPMT('Underwriting Dashboard'!F8,83,'Underwriting Dashboard'!C12,-'Underwriting Dashboard'!F7),"")</f>
        <v/>
      </c>
      <c r="H92" s="19" t="str">
        <f t="shared" si="6"/>
        <v/>
      </c>
    </row>
    <row r="93" spans="2:8" ht="15" customHeight="1" x14ac:dyDescent="0.35">
      <c r="B93" s="20" t="str">
        <f>IF(84&lt;='Underwriting Dashboard'!C12,84,"")</f>
        <v/>
      </c>
      <c r="C93" s="21" t="str">
        <f t="shared" si="7"/>
        <v/>
      </c>
      <c r="D93" s="22" t="str">
        <f t="shared" si="8"/>
        <v/>
      </c>
      <c r="E93" s="22" t="str">
        <f>IF(B93&lt;&gt;"",'Underwriting Dashboard'!F9,"")</f>
        <v/>
      </c>
      <c r="F93" s="22" t="str">
        <f>IF(B93&lt;&gt;"",PPMT('Underwriting Dashboard'!F8,84,'Underwriting Dashboard'!C12,-'Underwriting Dashboard'!F7),"")</f>
        <v/>
      </c>
      <c r="G93" s="22" t="str">
        <f>IF(B93&lt;&gt;"",IPMT('Underwriting Dashboard'!F8,84,'Underwriting Dashboard'!C12,-'Underwriting Dashboard'!F7),"")</f>
        <v/>
      </c>
      <c r="H93" s="22" t="str">
        <f t="shared" si="6"/>
        <v/>
      </c>
    </row>
    <row r="94" spans="2:8" ht="18" customHeight="1" x14ac:dyDescent="0.35">
      <c r="B94" s="34" t="s">
        <v>44</v>
      </c>
      <c r="C94" s="35"/>
      <c r="D94" s="35"/>
      <c r="E94" s="23">
        <f>SUM(E10:E93)</f>
        <v>48079.672711916384</v>
      </c>
      <c r="F94" s="23">
        <f>SUM(F10:F93)</f>
        <v>39999.999999999985</v>
      </c>
      <c r="G94" s="23">
        <f>SUM(G10:G93)</f>
        <v>8079.6727119163543</v>
      </c>
      <c r="H94" s="24"/>
    </row>
  </sheetData>
  <sheetProtection password="8E18" sheet="1"/>
  <mergeCells count="3">
    <mergeCell ref="B4:G4"/>
    <mergeCell ref="B2:G3"/>
    <mergeCell ref="B94:D9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Underwriting Dashboard</vt:lpstr>
      <vt:lpstr>Amortization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Quanthaven</dc:creator>
  <cp:lastModifiedBy>Haven Chavous</cp:lastModifiedBy>
  <cp:revision>0</cp:revision>
  <dcterms:created xsi:type="dcterms:W3CDTF">2026-03-20T12:08:12Z</dcterms:created>
  <dcterms:modified xsi:type="dcterms:W3CDTF">2026-03-20T12:13:32Z</dcterms:modified>
  <dc:language>en-US</dc:language>
</cp:coreProperties>
</file>