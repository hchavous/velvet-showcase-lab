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Estimator" sheetId="2" state="visible" r:id="rId4"/>
    <sheet name="Rate Tab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<sst xmlns="http://schemas.openxmlformats.org/spreadsheetml/2006/main" count="186" uniqueCount="168">
  <si>
    <t xml:space="preserve">MANUFACTURING JOB COST ESTIMATOR — USER GUIDE</t>
  </si>
  <si>
    <t xml:space="preserve">Quanthaven Labs, LLC</t>
  </si>
  <si>
    <t xml:space="preserve">  OVERVIEW</t>
  </si>
  <si>
    <t xml:space="preserve">This workbook calculates the fully-loaded cost and quoted price for a manufacturing job. Enter your inputs in the blue cells on the Estimator tab. All gray cells are formula-driven and locked. The summary at the bottom of the Estimator sheet automatically rolls up cost, markup, and margin. Use the Rate Table tab to maintain standard labor and burden rates for reference.</t>
  </si>
  <si>
    <t xml:space="preserve">  COLOR CODING</t>
  </si>
  <si>
    <t xml:space="preserve">Blue text on white</t>
  </si>
  <si>
    <t xml:space="preserve">User input cell — type your values here. These cells are unlocked.</t>
  </si>
  <si>
    <t xml:space="preserve">Black text on gray</t>
  </si>
  <si>
    <t xml:space="preserve">Calculated formula — do not edit. These cells are protected.</t>
  </si>
  <si>
    <t xml:space="preserve">Black text on amber</t>
  </si>
  <si>
    <t xml:space="preserve">Subtotal or key output — formula-driven summary value.</t>
  </si>
  <si>
    <t xml:space="preserve">Black text on light blue</t>
  </si>
  <si>
    <t xml:space="preserve">Column or section header — label only, no input required.</t>
  </si>
  <si>
    <t xml:space="preserve">White text on dark navy</t>
  </si>
  <si>
    <t xml:space="preserve">Section title or totals row — structural label.</t>
  </si>
  <si>
    <t xml:space="preserve">  STEP-BY-STEP INSTRUCTIONS</t>
  </si>
  <si>
    <t xml:space="preserve">Step 1</t>
  </si>
  <si>
    <t xml:space="preserve">Enter Job Information</t>
  </si>
  <si>
    <t xml:space="preserve">At the top of the Estimator tab, fill in the job name, customer, part number, production quantity, date, and your name. Quantity is used to calculate per-unit cost and price in the Key Metrics section.</t>
  </si>
  <si>
    <t xml:space="preserve">Step 2</t>
  </si>
  <si>
    <t xml:space="preserve">Enter Material Costs (Section 1)</t>
  </si>
  <si>
    <t xml:space="preserve">For each raw material, enter a description, unit cost, quantity, and unit of measure. Optionally enter a waste % (e.g., 5% for 0.05) to account for scrap or yield loss — the extended cost will automatically inflate by that factor. Leave unused rows blank; they will display a dash and be excluded from totals.</t>
  </si>
  <si>
    <t xml:space="preserve">Step 3</t>
  </si>
  <si>
    <t xml:space="preserve">Enter Labor (Section 2)</t>
  </si>
  <si>
    <t xml:space="preserve">List each operation or work center (e.g., CNC Machining, Welding, Assembly). Enter estimated hours and the applicable hourly rate. Extended cost calculates automatically. Reference the Rate Table tab for your standard labor rates.</t>
  </si>
  <si>
    <t xml:space="preserve">Step 4</t>
  </si>
  <si>
    <t xml:space="preserve">Enter Machine Time (Section 3)</t>
  </si>
  <si>
    <t xml:space="preserve">For each machine or resource, enter setup hours and run hours separately. Total hours are summed automatically. Enter the burden rate ($/hr) for that machine. Burden rates should include depreciation, maintenance, utilities, and allocated overhead. See the Rate Table tab for standard burden rates.</t>
  </si>
  <si>
    <t xml:space="preserve">Step 5</t>
  </si>
  <si>
    <t xml:space="preserve">Enter Fixed Overhead (Section 4)</t>
  </si>
  <si>
    <t xml:space="preserve">Enter any fixed job-level cost not captured above — tooling, fixtures, freight, outside processing, etc. This is a single dollar input applied at the job level.</t>
  </si>
  <si>
    <t xml:space="preserve">Step 6</t>
  </si>
  <si>
    <t xml:space="preserve">Set Markup Percentages (Section 4)</t>
  </si>
  <si>
    <t xml:space="preserve">Four independent markup fields let you apply different margins by cost type: material, labor, machine, and overhead. Default values are pre-filled (15% / 20% / 10% / 8%). Adjust these to reflect your quoting policy or job-specific requirements.</t>
  </si>
  <si>
    <t xml:space="preserve">Step 7</t>
  </si>
  <si>
    <t xml:space="preserve">Review the Estimate Summary (Section 5)</t>
  </si>
  <si>
    <t xml:space="preserve">The summary table shows base cost, markup %, markup dollar amount, and quoted price for each category, plus each category's share of the total quote. The totals row and Key Metrics box calculate automatically.</t>
  </si>
  <si>
    <t xml:space="preserve">Step 8</t>
  </si>
  <si>
    <t xml:space="preserve">Review Key Metrics</t>
  </si>
  <si>
    <t xml:space="preserve">At the bottom of the summary, review total job cost, total quoted amount, gross profit, gross margin %, unit cost, and unit quote price. These update instantly as you modify any input.</t>
  </si>
  <si>
    <t xml:space="preserve">  TIPS &amp; NOTES</t>
  </si>
  <si>
    <t xml:space="preserve">Sheet Protection</t>
  </si>
  <si>
    <t xml:space="preserve">Formula cells are protected to prevent accidental edits. If you need to modify a formula, use Review &gt; Unprotect Sheet. Password: quanthaven</t>
  </si>
  <si>
    <t xml:space="preserve">Rate Table</t>
  </si>
  <si>
    <t xml:space="preserve">The Rate Table tab contains editable reference rates for labor and machines. Values there do not feed directly into the Estimator — copy rates manually as needed.</t>
  </si>
  <si>
    <t xml:space="preserve">Unused Rows</t>
  </si>
  <si>
    <t xml:space="preserve">Any row left blank will show a dash (-) in the Extended Cost column and will be excluded from subtotals. You do not need to delete empty rows.</t>
  </si>
  <si>
    <t xml:space="preserve">Waste / Yield</t>
  </si>
  <si>
    <t xml:space="preserve">Enter waste % as a decimal (e.g., 5% = 0.05) or as a percentage-formatted cell. A 5% waste factor on $100 of material will calculate to $105 extended cost.</t>
  </si>
  <si>
    <t xml:space="preserve">Saving Versions</t>
  </si>
  <si>
    <t xml:space="preserve">Save a copy with the job name and date in the filename (e.g., Bracket_Assembly_PN0042_2026-03-30.xlsx) to maintain a quote history.</t>
  </si>
  <si>
    <t xml:space="preserve">MANUFACTURING JOB COST ESTIMATOR</t>
  </si>
  <si>
    <t xml:space="preserve">  JOB INFORMATION</t>
  </si>
  <si>
    <t xml:space="preserve">Job / Part Name</t>
  </si>
  <si>
    <t xml:space="preserve">Customer</t>
  </si>
  <si>
    <t xml:space="preserve">Part No.</t>
  </si>
  <si>
    <t xml:space="preserve">Qty</t>
  </si>
  <si>
    <t xml:space="preserve">Date</t>
  </si>
  <si>
    <t xml:space="preserve">Estimator</t>
  </si>
  <si>
    <t xml:space="preserve">  SECTION 1 — MATERIALS</t>
  </si>
  <si>
    <t xml:space="preserve">  Material Rate Reference</t>
  </si>
  <si>
    <t xml:space="preserve">Material  ▾</t>
  </si>
  <si>
    <t xml:space="preserve">Unit Cost ($) ↻</t>
  </si>
  <si>
    <t xml:space="preserve">Unit ↻</t>
  </si>
  <si>
    <t xml:space="preserve">Waste %</t>
  </si>
  <si>
    <t xml:space="preserve">Extended ($)</t>
  </si>
  <si>
    <t xml:space="preserve">Material</t>
  </si>
  <si>
    <t xml:space="preserve">Unit Cost ($)</t>
  </si>
  <si>
    <t xml:space="preserve">Unit</t>
  </si>
  <si>
    <t xml:space="preserve">Notes</t>
  </si>
  <si>
    <t xml:space="preserve">Material Subtotal</t>
  </si>
  <si>
    <t xml:space="preserve">  SECTION 2 — LABOR</t>
  </si>
  <si>
    <t xml:space="preserve">  Labor Rate Reference</t>
  </si>
  <si>
    <t xml:space="preserve">Operation  ▾</t>
  </si>
  <si>
    <t xml:space="preserve">Hours</t>
  </si>
  <si>
    <t xml:space="preserve">Rate ($/hr) ↻</t>
  </si>
  <si>
    <t xml:space="preserve">Operation / Role</t>
  </si>
  <si>
    <t xml:space="preserve">Reg ($/hr)</t>
  </si>
  <si>
    <t xml:space="preserve">OT ($/hr)</t>
  </si>
  <si>
    <t xml:space="preserve">Labor Subtotal</t>
  </si>
  <si>
    <t xml:space="preserve">  SECTION 3 — MACHINE TIME &amp; BURDEN</t>
  </si>
  <si>
    <t xml:space="preserve">  Machine Rate Reference</t>
  </si>
  <si>
    <t xml:space="preserve">Machine  ▾</t>
  </si>
  <si>
    <t xml:space="preserve">Setup Hrs</t>
  </si>
  <si>
    <t xml:space="preserve">Run Hrs</t>
  </si>
  <si>
    <t xml:space="preserve">Total Hrs</t>
  </si>
  <si>
    <t xml:space="preserve">Burden ($/hr) ↻</t>
  </si>
  <si>
    <t xml:space="preserve">Machine / Resource</t>
  </si>
  <si>
    <t xml:space="preserve">Burden ($/hr)</t>
  </si>
  <si>
    <t xml:space="preserve">Capacity (hrs/d)</t>
  </si>
  <si>
    <t xml:space="preserve">Machine Subtotal</t>
  </si>
  <si>
    <t xml:space="preserve">  SECTION 4 — OVERHEAD &amp; MARKUP ASSUMPTIONS</t>
  </si>
  <si>
    <t xml:space="preserve">Fixed Overhead / Setup ($)</t>
  </si>
  <si>
    <t xml:space="preserve">Markup by Category (applied to base cost)</t>
  </si>
  <si>
    <t xml:space="preserve">Markup %</t>
  </si>
  <si>
    <t xml:space="preserve">Material Markup</t>
  </si>
  <si>
    <t xml:space="preserve">Labor Markup</t>
  </si>
  <si>
    <t xml:space="preserve">Machine Markup</t>
  </si>
  <si>
    <t xml:space="preserve">Overhead Markup</t>
  </si>
  <si>
    <t xml:space="preserve">  SECTION 5 — ESTIMATE SUMMARY</t>
  </si>
  <si>
    <t xml:space="preserve">Cost Category</t>
  </si>
  <si>
    <t xml:space="preserve">Base Cost ($)</t>
  </si>
  <si>
    <t xml:space="preserve">Markup ($)</t>
  </si>
  <si>
    <t xml:space="preserve">Quoted Amount ($)</t>
  </si>
  <si>
    <t xml:space="preserve">% of Total</t>
  </si>
  <si>
    <t xml:space="preserve">Materials</t>
  </si>
  <si>
    <t xml:space="preserve">Labor</t>
  </si>
  <si>
    <t xml:space="preserve">Machine Time</t>
  </si>
  <si>
    <t xml:space="preserve">Overhead / Setup</t>
  </si>
  <si>
    <t xml:space="preserve">TOTAL</t>
  </si>
  <si>
    <t xml:space="preserve">"100.0%"</t>
  </si>
  <si>
    <t xml:space="preserve">  KEY METRICS</t>
  </si>
  <si>
    <t xml:space="preserve">Total Job Cost (no markup)</t>
  </si>
  <si>
    <t xml:space="preserve">Total Quoted Amount</t>
  </si>
  <si>
    <t xml:space="preserve">Gross Profit ($)</t>
  </si>
  <si>
    <t xml:space="preserve">Gross Margin %</t>
  </si>
  <si>
    <t xml:space="preserve">Unit Cost (per Qty)</t>
  </si>
  <si>
    <t xml:space="preserve">Unit Quote Price (per Qty)</t>
  </si>
  <si>
    <t xml:space="preserve">  COLOR LEGEND</t>
  </si>
  <si>
    <t xml:space="preserve">    Blue text = user input (editable cell)</t>
  </si>
  <si>
    <t xml:space="preserve">    Blue italic on light blue = auto-filled from Rate Table (editable — type to override)</t>
  </si>
  <si>
    <t xml:space="preserve">    Amber background = subtotal or key output</t>
  </si>
  <si>
    <t xml:space="preserve">LABOR, MACHINE &amp; MATERIAL RATE REFERENCE</t>
  </si>
  <si>
    <t xml:space="preserve">  Labor Rates</t>
  </si>
  <si>
    <t xml:space="preserve">Role / Operation</t>
  </si>
  <si>
    <t xml:space="preserve">Hourly Rate ($)</t>
  </si>
  <si>
    <t xml:space="preserve">OT Rate ($)</t>
  </si>
  <si>
    <t xml:space="preserve">General Labor</t>
  </si>
  <si>
    <t xml:space="preserve">Skilled Machinist</t>
  </si>
  <si>
    <t xml:space="preserve">CNC, lathe</t>
  </si>
  <si>
    <t xml:space="preserve">Welder / Fabricator</t>
  </si>
  <si>
    <t xml:space="preserve">Assembly Tech</t>
  </si>
  <si>
    <t xml:space="preserve">Quality Inspector</t>
  </si>
  <si>
    <t xml:space="preserve">  Machine Burden Rates</t>
  </si>
  <si>
    <t xml:space="preserve">Burden Rate ($/hr)</t>
  </si>
  <si>
    <t xml:space="preserve">Capacity (hrs/day)</t>
  </si>
  <si>
    <t xml:space="preserve">CNC Machining Center</t>
  </si>
  <si>
    <t xml:space="preserve">3-axis</t>
  </si>
  <si>
    <t xml:space="preserve">Laser Cutter</t>
  </si>
  <si>
    <t xml:space="preserve">Fiber, up to 1" steel</t>
  </si>
  <si>
    <t xml:space="preserve">Press Brake</t>
  </si>
  <si>
    <t xml:space="preserve">MIG Welder</t>
  </si>
  <si>
    <t xml:space="preserve">Per station</t>
  </si>
  <si>
    <t xml:space="preserve">Surface Grinder</t>
  </si>
  <si>
    <t xml:space="preserve">Assembly Station</t>
  </si>
  <si>
    <t xml:space="preserve">  Material / Supply Costs</t>
  </si>
  <si>
    <t xml:space="preserve">Material / Description</t>
  </si>
  <si>
    <t xml:space="preserve">Steel Sheet, 11ga</t>
  </si>
  <si>
    <t xml:space="preserve">sqft</t>
  </si>
  <si>
    <t xml:space="preserve">Hot-rolled</t>
  </si>
  <si>
    <t xml:space="preserve">Aluminum Plate, 1/4"</t>
  </si>
  <si>
    <t xml:space="preserve">6061-T6</t>
  </si>
  <si>
    <t xml:space="preserve">Steel Tube, 2x2x.120</t>
  </si>
  <si>
    <t xml:space="preserve">ft</t>
  </si>
  <si>
    <t xml:space="preserve">A500 square</t>
  </si>
  <si>
    <t xml:space="preserve">Hardware / Fasteners</t>
  </si>
  <si>
    <t xml:space="preserve">ea</t>
  </si>
  <si>
    <t xml:space="preserve">Avg per piece</t>
  </si>
  <si>
    <t xml:space="preserve">Welding Wire / Consumables</t>
  </si>
  <si>
    <t xml:space="preserve">lb</t>
  </si>
  <si>
    <t xml:space="preserve">ER70S-6</t>
  </si>
  <si>
    <t xml:space="preserve">Paint / Powder Coat</t>
  </si>
  <si>
    <t xml:space="preserve">Single coat</t>
  </si>
  <si>
    <t xml:space="preserve">Aluminum Extrusion</t>
  </si>
  <si>
    <t xml:space="preserve">6063-T5</t>
  </si>
  <si>
    <t xml:space="preserve">Misc Raw Material</t>
  </si>
  <si>
    <t xml:space="preserve">Adjust as needed</t>
  </si>
  <si>
    <t xml:space="preserve">All blue cells are editable. Dropdown selections on the Estimator tab pull from this table automatically.</t>
  </si>
</sst>
</file>

<file path=xl/styles.xml><?xml version="1.0" encoding="utf-8"?>
<styleSheet xmlns="http://schemas.openxmlformats.org/spreadsheetml/2006/main">
  <numFmts count="6">
    <numFmt numFmtId="164" formatCode="General"/>
    <numFmt numFmtId="165" formatCode="#,##0"/>
    <numFmt numFmtId="166" formatCode="mm/dd/yyyy"/>
    <numFmt numFmtId="167" formatCode="\$#,##0.00;&quot;($&quot;#,##0.00\);\-"/>
    <numFmt numFmtId="168" formatCode="#,##0.00;\(#,##0.00\);\-"/>
    <numFmt numFmtId="169" formatCode="0.0%;\(0.0%\);\-"/>
  </numFmts>
  <fonts count="21">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8FA8C0"/>
      <name val="Arial"/>
      <family val="0"/>
      <charset val="1"/>
    </font>
    <font>
      <b val="true"/>
      <sz val="10"/>
      <color rgb="FFFFFFFF"/>
      <name val="Arial"/>
      <family val="0"/>
      <charset val="1"/>
    </font>
    <font>
      <sz val="10"/>
      <color rgb="FF000000"/>
      <name val="Arial"/>
      <family val="0"/>
      <charset val="1"/>
    </font>
    <font>
      <b val="true"/>
      <sz val="9"/>
      <color rgb="FF0000FF"/>
      <name val="Arial"/>
      <family val="0"/>
      <charset val="1"/>
    </font>
    <font>
      <b val="true"/>
      <sz val="9"/>
      <color rgb="FF000000"/>
      <name val="Arial"/>
      <family val="0"/>
      <charset val="1"/>
    </font>
    <font>
      <b val="true"/>
      <sz val="9"/>
      <color rgb="FFFFFFFF"/>
      <name val="Arial"/>
      <family val="0"/>
      <charset val="1"/>
    </font>
    <font>
      <b val="true"/>
      <sz val="10"/>
      <color rgb="FF000000"/>
      <name val="Arial"/>
      <family val="0"/>
      <charset val="1"/>
    </font>
    <font>
      <sz val="11"/>
      <color rgb="FF000000"/>
      <name val="Calibri"/>
      <family val="0"/>
      <charset val="1"/>
    </font>
    <font>
      <b val="true"/>
      <sz val="14"/>
      <color rgb="FFFFFFFF"/>
      <name val="Arial"/>
      <family val="0"/>
      <charset val="1"/>
    </font>
    <font>
      <sz val="10"/>
      <color rgb="FF0000FF"/>
      <name val="Arial"/>
      <family val="0"/>
      <charset val="1"/>
    </font>
    <font>
      <i val="true"/>
      <sz val="10"/>
      <color rgb="FF0000FF"/>
      <name val="Arial"/>
      <family val="0"/>
      <charset val="1"/>
    </font>
    <font>
      <sz val="9"/>
      <color rgb="FF000000"/>
      <name val="Arial"/>
      <family val="0"/>
      <charset val="1"/>
    </font>
    <font>
      <b val="true"/>
      <sz val="11"/>
      <color rgb="FF000000"/>
      <name val="Arial"/>
      <family val="0"/>
      <charset val="1"/>
    </font>
    <font>
      <i val="true"/>
      <sz val="9"/>
      <color rgb="FF0000FF"/>
      <name val="Arial"/>
      <family val="0"/>
      <charset val="1"/>
    </font>
    <font>
      <i val="true"/>
      <sz val="9"/>
      <color rgb="FF000000"/>
      <name val="Arial"/>
      <family val="0"/>
      <charset val="1"/>
    </font>
    <font>
      <i val="true"/>
      <sz val="9"/>
      <color rgb="FF888888"/>
      <name val="Arial"/>
      <family val="0"/>
      <charset val="1"/>
    </font>
  </fonts>
  <fills count="11">
    <fill>
      <patternFill patternType="none"/>
    </fill>
    <fill>
      <patternFill patternType="gray125"/>
    </fill>
    <fill>
      <patternFill patternType="solid">
        <fgColor rgb="FF1C2B3A"/>
        <bgColor rgb="FF2E4057"/>
      </patternFill>
    </fill>
    <fill>
      <patternFill patternType="solid">
        <fgColor rgb="FF2E4057"/>
        <bgColor rgb="FF1C2B3A"/>
      </patternFill>
    </fill>
    <fill>
      <patternFill patternType="solid">
        <fgColor rgb="FFEEF2F7"/>
        <bgColor rgb="FFEEF5FB"/>
      </patternFill>
    </fill>
    <fill>
      <patternFill patternType="solid">
        <fgColor rgb="FFFFF3D4"/>
        <bgColor rgb="FFF2F2F2"/>
      </patternFill>
    </fill>
    <fill>
      <patternFill patternType="solid">
        <fgColor rgb="FFFFFFFF"/>
        <bgColor rgb="FFEEF5FB"/>
      </patternFill>
    </fill>
    <fill>
      <patternFill patternType="solid">
        <fgColor rgb="FFF2F2F2"/>
        <bgColor rgb="FFEEF2F7"/>
      </patternFill>
    </fill>
    <fill>
      <patternFill patternType="solid">
        <fgColor rgb="FFD6E8F5"/>
        <bgColor rgb="FFD6DCE4"/>
      </patternFill>
    </fill>
    <fill>
      <patternFill patternType="solid">
        <fgColor rgb="FFD6DCE4"/>
        <bgColor rgb="FFD6E8F5"/>
      </patternFill>
    </fill>
    <fill>
      <patternFill patternType="solid">
        <fgColor rgb="FFEEF5FB"/>
        <bgColor rgb="FFEEF2F7"/>
      </patternFill>
    </fill>
  </fills>
  <borders count="6">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7AAFC8"/>
      </left>
      <right style="thin">
        <color rgb="FF7AAFC8"/>
      </right>
      <top style="thin">
        <color rgb="FF7AAFC8"/>
      </top>
      <bottom style="thin">
        <color rgb="FF7AAFC8"/>
      </bottom>
      <diagonal/>
    </border>
    <border diagonalUp="false" diagonalDown="false">
      <left style="thin">
        <color rgb="FF1C2B3A"/>
      </left>
      <right style="thin">
        <color rgb="FF1C2B3A"/>
      </right>
      <top style="thin">
        <color rgb="FF1C2B3A"/>
      </top>
      <bottom style="thin">
        <color rgb="FF1C2B3A"/>
      </bottom>
      <diagonal/>
    </border>
    <border diagonalUp="false" diagonalDown="false">
      <left style="thin">
        <color rgb="FF7AAFC8"/>
      </left>
      <right/>
      <top style="thin">
        <color rgb="FF7AAFC8"/>
      </top>
      <bottom style="thin">
        <color rgb="FF7AAF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righ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true">
      <alignment horizontal="center" vertical="center" textRotation="0" wrapText="false" indent="0" shrinkToFit="false"/>
      <protection locked="fals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0" fillId="6" borderId="2" xfId="0" applyFont="false" applyBorder="true" applyAlignment="true" applyProtection="false">
      <alignment horizontal="general" vertical="bottom" textRotation="0" wrapText="fals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4" fontId="9" fillId="8" borderId="3" xfId="0" applyFont="true" applyBorder="true" applyAlignment="true" applyProtection="false">
      <alignment horizontal="center" vertical="center" textRotation="0" wrapText="false" indent="0" shrinkToFit="false"/>
      <protection locked="true" hidden="false"/>
    </xf>
    <xf numFmtId="164" fontId="9" fillId="9"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false" indent="0" shrinkToFit="false"/>
      <protection locked="true" hidden="false"/>
    </xf>
    <xf numFmtId="164" fontId="10" fillId="2" borderId="4" xfId="0" applyFont="true" applyBorder="true" applyAlignment="true" applyProtection="false">
      <alignment horizontal="center" vertical="center" textRotation="0" wrapText="false" indent="0" shrinkToFit="false"/>
      <protection locked="true" hidden="false"/>
    </xf>
    <xf numFmtId="164" fontId="11" fillId="9" borderId="2" xfId="0" applyFont="true" applyBorder="true" applyAlignment="true" applyProtection="false">
      <alignment horizontal="left" vertical="center" textRotation="0" wrapText="false" indent="0" shrinkToFit="false"/>
      <protection locked="true" hidden="false"/>
    </xf>
    <xf numFmtId="164" fontId="0" fillId="9" borderId="2" xfId="0" applyFont="fals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9" fillId="8" borderId="3" xfId="0" applyFont="true" applyBorder="true" applyAlignment="true" applyProtection="false">
      <alignment horizontal="left" vertical="center" textRotation="0" wrapText="false" indent="0" shrinkToFit="false"/>
      <protection locked="true" hidden="false"/>
    </xf>
    <xf numFmtId="164" fontId="12" fillId="8" borderId="3"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left" vertical="center" textRotation="0" wrapText="false" indent="1" shrinkToFit="false"/>
      <protection locked="true" hidden="false"/>
    </xf>
    <xf numFmtId="164" fontId="14" fillId="5" borderId="2" xfId="0" applyFont="true" applyBorder="true" applyAlignment="true" applyProtection="true">
      <alignment horizontal="center" vertical="center" textRotation="0" wrapText="false" indent="0" shrinkToFit="false"/>
      <protection locked="false" hidden="false"/>
    </xf>
    <xf numFmtId="165" fontId="14" fillId="5" borderId="2" xfId="0" applyFont="true" applyBorder="true" applyAlignment="true" applyProtection="true">
      <alignment horizontal="center" vertical="center" textRotation="0" wrapText="false" indent="0" shrinkToFit="false"/>
      <protection locked="false" hidden="false"/>
    </xf>
    <xf numFmtId="166" fontId="14" fillId="5" borderId="2" xfId="0" applyFont="true" applyBorder="true" applyAlignment="true" applyProtection="true">
      <alignment horizontal="center" vertical="center" textRotation="0" wrapText="false" indent="0" shrinkToFit="false"/>
      <protection locked="fals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left" vertical="center" textRotation="0" wrapText="false" indent="1" shrinkToFit="false"/>
      <protection locked="true" hidden="false"/>
    </xf>
    <xf numFmtId="164" fontId="9" fillId="9" borderId="2"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true">
      <alignment horizontal="left" vertical="center" textRotation="0" wrapText="false" indent="0" shrinkToFit="false"/>
      <protection locked="false" hidden="false"/>
    </xf>
    <xf numFmtId="167" fontId="15" fillId="10" borderId="2" xfId="0" applyFont="true" applyBorder="true" applyAlignment="true" applyProtection="true">
      <alignment horizontal="right" vertical="center" textRotation="0" wrapText="false" indent="0" shrinkToFit="false"/>
      <protection locked="false" hidden="false"/>
    </xf>
    <xf numFmtId="168" fontId="14" fillId="5" borderId="2" xfId="0" applyFont="true" applyBorder="true" applyAlignment="true" applyProtection="true">
      <alignment horizontal="right" vertical="center" textRotation="0" wrapText="false" indent="0" shrinkToFit="false"/>
      <protection locked="false" hidden="false"/>
    </xf>
    <xf numFmtId="164" fontId="15" fillId="10" borderId="2" xfId="0" applyFont="true" applyBorder="true" applyAlignment="true" applyProtection="true">
      <alignment horizontal="center" vertical="center" textRotation="0" wrapText="false" indent="0" shrinkToFit="false"/>
      <protection locked="false" hidden="false"/>
    </xf>
    <xf numFmtId="169" fontId="14" fillId="5" borderId="2" xfId="0" applyFont="true" applyBorder="true" applyAlignment="true" applyProtection="true">
      <alignment horizontal="right" vertical="center" textRotation="0" wrapText="false" indent="0" shrinkToFit="false"/>
      <protection locked="false" hidden="false"/>
    </xf>
    <xf numFmtId="167" fontId="7" fillId="7" borderId="2" xfId="0" applyFont="true" applyBorder="true" applyAlignment="true" applyProtection="false">
      <alignment horizontal="right" vertical="center" textRotation="0" wrapText="false" indent="0" shrinkToFit="false"/>
      <protection locked="true" hidden="false"/>
    </xf>
    <xf numFmtId="164" fontId="16" fillId="7" borderId="2" xfId="0" applyFont="true" applyBorder="true" applyAlignment="true" applyProtection="false">
      <alignment horizontal="left" vertical="center" textRotation="0" wrapText="false" indent="0" shrinkToFit="false"/>
      <protection locked="true" hidden="false"/>
    </xf>
    <xf numFmtId="167" fontId="16" fillId="7" borderId="2" xfId="0" applyFont="true" applyBorder="true" applyAlignment="true" applyProtection="false">
      <alignment horizontal="center" vertical="center" textRotation="0" wrapText="false" indent="0" shrinkToFit="false"/>
      <protection locked="true" hidden="false"/>
    </xf>
    <xf numFmtId="164" fontId="16" fillId="7" borderId="2" xfId="0" applyFont="true" applyBorder="true" applyAlignment="true" applyProtection="false">
      <alignment horizontal="center" vertical="center" textRotation="0" wrapText="false" indent="0" shrinkToFit="false"/>
      <protection locked="true" hidden="false"/>
    </xf>
    <xf numFmtId="164" fontId="11" fillId="8" borderId="5" xfId="0" applyFont="true" applyBorder="true" applyAlignment="true" applyProtection="false">
      <alignment horizontal="right" vertical="center" textRotation="0" wrapText="false" indent="0" shrinkToFit="false"/>
      <protection locked="true" hidden="false"/>
    </xf>
    <xf numFmtId="167" fontId="11" fillId="8" borderId="3" xfId="0" applyFont="true" applyBorder="true" applyAlignment="true" applyProtection="false">
      <alignment horizontal="right" vertical="center" textRotation="0" wrapText="false" indent="0" shrinkToFit="false"/>
      <protection locked="true" hidden="false"/>
    </xf>
    <xf numFmtId="168" fontId="7" fillId="7" borderId="2" xfId="0" applyFont="true" applyBorder="true" applyAlignment="true" applyProtection="false">
      <alignment horizontal="right" vertical="center" textRotation="0" wrapText="false" indent="0" shrinkToFit="false"/>
      <protection locked="true" hidden="false"/>
    </xf>
    <xf numFmtId="165" fontId="16" fillId="7" borderId="2"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14" fillId="5" borderId="2" xfId="0" applyFont="true" applyBorder="true" applyAlignment="true" applyProtection="true">
      <alignment horizontal="right" vertical="center" textRotation="0" wrapText="false" indent="0" shrinkToFit="false"/>
      <protection locked="false" hidden="false"/>
    </xf>
    <xf numFmtId="164" fontId="9" fillId="9"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false" indent="0" shrinkToFit="false"/>
      <protection locked="true" hidden="false"/>
    </xf>
    <xf numFmtId="169" fontId="7" fillId="7" borderId="2" xfId="0" applyFont="true" applyBorder="true" applyAlignment="true" applyProtection="false">
      <alignment horizontal="right" vertical="center" textRotation="0" wrapText="false" indent="0" shrinkToFit="false"/>
      <protection locked="true" hidden="false"/>
    </xf>
    <xf numFmtId="164" fontId="6" fillId="2" borderId="4" xfId="0" applyFont="true" applyBorder="true" applyAlignment="true" applyProtection="false">
      <alignment horizontal="left" vertical="center" textRotation="0" wrapText="false" indent="0" shrinkToFit="false"/>
      <protection locked="true" hidden="false"/>
    </xf>
    <xf numFmtId="167" fontId="6" fillId="2" borderId="4" xfId="0" applyFont="true" applyBorder="true" applyAlignment="true" applyProtection="false">
      <alignment horizontal="right" vertical="center" textRotation="0" wrapText="false" indent="0" shrinkToFit="false"/>
      <protection locked="true" hidden="false"/>
    </xf>
    <xf numFmtId="169" fontId="6" fillId="2" borderId="4" xfId="0" applyFont="true" applyBorder="true" applyAlignment="true" applyProtection="false">
      <alignment horizontal="right" vertical="center" textRotation="0" wrapText="false" indent="0" shrinkToFit="false"/>
      <protection locked="true" hidden="false"/>
    </xf>
    <xf numFmtId="167" fontId="17" fillId="8" borderId="3" xfId="0" applyFont="true" applyBorder="true" applyAlignment="true" applyProtection="false">
      <alignment horizontal="right" vertical="center" textRotation="0" wrapText="false" indent="0" shrinkToFit="false"/>
      <protection locked="true" hidden="false"/>
    </xf>
    <xf numFmtId="169" fontId="17" fillId="8" borderId="3" xfId="0" applyFont="true" applyBorder="true" applyAlignment="true" applyProtection="false">
      <alignment horizontal="right" vertical="center" textRotation="0" wrapText="false" indent="0" shrinkToFit="false"/>
      <protection locked="true" hidden="false"/>
    </xf>
    <xf numFmtId="164" fontId="18" fillId="5" borderId="1" xfId="0" applyFont="true" applyBorder="true" applyAlignment="true" applyProtection="true">
      <alignment horizontal="left" vertical="center" textRotation="0" wrapText="false" indent="0" shrinkToFit="false"/>
      <protection locked="false" hidden="false"/>
    </xf>
    <xf numFmtId="164" fontId="18" fillId="10" borderId="1" xfId="0" applyFont="true" applyBorder="true" applyAlignment="true" applyProtection="true">
      <alignment horizontal="left" vertical="center" textRotation="0" wrapText="false" indent="0" shrinkToFit="false"/>
      <protection locked="false" hidden="false"/>
    </xf>
    <xf numFmtId="164" fontId="19" fillId="8" borderId="5" xfId="0" applyFont="true" applyBorder="true" applyAlignment="true" applyProtection="false">
      <alignment horizontal="left" vertical="center" textRotation="0" wrapText="false" indent="0" shrinkToFit="false"/>
      <protection locked="true" hidden="false"/>
    </xf>
    <xf numFmtId="167" fontId="14" fillId="5" borderId="2" xfId="0" applyFont="true" applyBorder="true" applyAlignment="true" applyProtection="true">
      <alignment horizontal="center" vertical="center" textRotation="0" wrapText="false" indent="0" shrinkToFit="false"/>
      <protection locked="false" hidden="false"/>
    </xf>
    <xf numFmtId="164" fontId="20" fillId="0"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88888"/>
      <rgbColor rgb="FF7AAFC8"/>
      <rgbColor rgb="FF993366"/>
      <rgbColor rgb="FFFFF3D4"/>
      <rgbColor rgb="FFD6E8F5"/>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EEF5FB"/>
      <rgbColor rgb="FFEEF2F7"/>
      <rgbColor rgb="FFF2F2F2"/>
      <rgbColor rgb="FF99CCFF"/>
      <rgbColor rgb="FFFF99CC"/>
      <rgbColor rgb="FFCC99FF"/>
      <rgbColor rgb="FFFFCC99"/>
      <rgbColor rgb="FF3366FF"/>
      <rgbColor rgb="FF33CCCC"/>
      <rgbColor rgb="FF99CC00"/>
      <rgbColor rgb="FFFFCC00"/>
      <rgbColor rgb="FFFF9900"/>
      <rgbColor rgb="FFFF6600"/>
      <rgbColor rgb="FF666699"/>
      <rgbColor rgb="FF8FA8C0"/>
      <rgbColor rgb="FF003366"/>
      <rgbColor rgb="FF339966"/>
      <rgbColor rgb="FF003300"/>
      <rgbColor rgb="FF333300"/>
      <rgbColor rgb="FF993300"/>
      <rgbColor rgb="FF993366"/>
      <rgbColor rgb="FF2E4057"/>
      <rgbColor rgb="FF1C2B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55"/>
    <col collapsed="false" customWidth="true" hidden="false" outlineLevel="0" max="4" min="4" style="1" width="18"/>
    <col collapsed="false" customWidth="true" hidden="false" outlineLevel="0" max="5" min="5" style="1" width="3"/>
  </cols>
  <sheetData>
    <row r="1" customFormat="false" ht="42" hidden="false" customHeight="true" outlineLevel="0" collapsed="false">
      <c r="A1" s="2" t="s">
        <v>0</v>
      </c>
      <c r="B1" s="2"/>
      <c r="C1" s="2"/>
      <c r="D1" s="3" t="s">
        <v>1</v>
      </c>
      <c r="E1" s="3"/>
    </row>
    <row r="2" customFormat="false" ht="6" hidden="false" customHeight="true" outlineLevel="0" collapsed="false"/>
    <row r="3" customFormat="false" ht="18" hidden="false" customHeight="true" outlineLevel="0" collapsed="false">
      <c r="A3" s="4" t="s">
        <v>2</v>
      </c>
      <c r="B3" s="4"/>
      <c r="C3" s="4"/>
      <c r="D3" s="4"/>
      <c r="E3" s="4"/>
    </row>
    <row r="4" customFormat="false" ht="7.5" hidden="false" customHeight="true" outlineLevel="0" collapsed="false"/>
    <row r="5" customFormat="false" ht="55.5" hidden="false" customHeight="true" outlineLevel="0" collapsed="false">
      <c r="B5" s="5" t="s">
        <v>3</v>
      </c>
      <c r="C5" s="5"/>
      <c r="D5" s="5"/>
    </row>
    <row r="6" customFormat="false" ht="7.5" hidden="false" customHeight="true" outlineLevel="0" collapsed="false"/>
    <row r="7" customFormat="false" ht="18" hidden="false" customHeight="true" outlineLevel="0" collapsed="false">
      <c r="A7" s="4" t="s">
        <v>4</v>
      </c>
      <c r="B7" s="4"/>
      <c r="C7" s="4"/>
      <c r="D7" s="4"/>
      <c r="E7" s="4"/>
    </row>
    <row r="8" customFormat="false" ht="7.5" hidden="false" customHeight="true" outlineLevel="0" collapsed="false"/>
    <row r="9" customFormat="false" ht="21.75" hidden="false" customHeight="true" outlineLevel="0" collapsed="false">
      <c r="B9" s="6" t="s">
        <v>5</v>
      </c>
      <c r="C9" s="7" t="s">
        <v>6</v>
      </c>
      <c r="D9" s="8"/>
    </row>
    <row r="10" customFormat="false" ht="21.75" hidden="false" customHeight="true" outlineLevel="0" collapsed="false">
      <c r="B10" s="9" t="s">
        <v>7</v>
      </c>
      <c r="C10" s="7" t="s">
        <v>8</v>
      </c>
      <c r="D10" s="8"/>
    </row>
    <row r="11" customFormat="false" ht="21.75" hidden="false" customHeight="true" outlineLevel="0" collapsed="false">
      <c r="B11" s="10" t="s">
        <v>9</v>
      </c>
      <c r="C11" s="7" t="s">
        <v>10</v>
      </c>
      <c r="D11" s="8"/>
    </row>
    <row r="12" customFormat="false" ht="21.75" hidden="false" customHeight="true" outlineLevel="0" collapsed="false">
      <c r="B12" s="11" t="s">
        <v>11</v>
      </c>
      <c r="C12" s="7" t="s">
        <v>12</v>
      </c>
      <c r="D12" s="8"/>
    </row>
    <row r="13" customFormat="false" ht="21.75" hidden="false" customHeight="true" outlineLevel="0" collapsed="false">
      <c r="B13" s="12" t="s">
        <v>13</v>
      </c>
      <c r="C13" s="7" t="s">
        <v>14</v>
      </c>
      <c r="D13" s="8"/>
    </row>
    <row r="14" customFormat="false" ht="9.75" hidden="false" customHeight="true" outlineLevel="0" collapsed="false"/>
    <row r="15" customFormat="false" ht="18" hidden="false" customHeight="true" outlineLevel="0" collapsed="false">
      <c r="A15" s="4" t="s">
        <v>15</v>
      </c>
      <c r="B15" s="4"/>
      <c r="C15" s="4"/>
      <c r="D15" s="4"/>
      <c r="E15" s="4"/>
    </row>
    <row r="16" customFormat="false" ht="7.5" hidden="false" customHeight="true" outlineLevel="0" collapsed="false"/>
    <row r="17" customFormat="false" ht="15.75" hidden="false" customHeight="true" outlineLevel="0" collapsed="false">
      <c r="B17" s="13" t="s">
        <v>16</v>
      </c>
      <c r="C17" s="14" t="s">
        <v>17</v>
      </c>
      <c r="D17" s="15"/>
    </row>
    <row r="18" customFormat="false" ht="42" hidden="false" customHeight="true" outlineLevel="0" collapsed="false">
      <c r="B18" s="16" t="s">
        <v>18</v>
      </c>
      <c r="C18" s="16"/>
      <c r="D18" s="16"/>
    </row>
    <row r="19" customFormat="false" ht="4.5" hidden="false" customHeight="true" outlineLevel="0" collapsed="false"/>
    <row r="20" customFormat="false" ht="15.75" hidden="false" customHeight="true" outlineLevel="0" collapsed="false">
      <c r="B20" s="13" t="s">
        <v>19</v>
      </c>
      <c r="C20" s="14" t="s">
        <v>20</v>
      </c>
      <c r="D20" s="15"/>
    </row>
    <row r="21" customFormat="false" ht="42" hidden="false" customHeight="true" outlineLevel="0" collapsed="false">
      <c r="B21" s="16" t="s">
        <v>21</v>
      </c>
      <c r="C21" s="16"/>
      <c r="D21" s="16"/>
    </row>
    <row r="22" customFormat="false" ht="4.5" hidden="false" customHeight="true" outlineLevel="0" collapsed="false"/>
    <row r="23" customFormat="false" ht="15.75" hidden="false" customHeight="true" outlineLevel="0" collapsed="false">
      <c r="B23" s="13" t="s">
        <v>22</v>
      </c>
      <c r="C23" s="14" t="s">
        <v>23</v>
      </c>
      <c r="D23" s="15"/>
    </row>
    <row r="24" customFormat="false" ht="42" hidden="false" customHeight="true" outlineLevel="0" collapsed="false">
      <c r="B24" s="16" t="s">
        <v>24</v>
      </c>
      <c r="C24" s="16"/>
      <c r="D24" s="16"/>
    </row>
    <row r="25" customFormat="false" ht="4.5" hidden="false" customHeight="true" outlineLevel="0" collapsed="false"/>
    <row r="26" customFormat="false" ht="15.75" hidden="false" customHeight="true" outlineLevel="0" collapsed="false">
      <c r="B26" s="13" t="s">
        <v>25</v>
      </c>
      <c r="C26" s="14" t="s">
        <v>26</v>
      </c>
      <c r="D26" s="15"/>
    </row>
    <row r="27" customFormat="false" ht="42" hidden="false" customHeight="true" outlineLevel="0" collapsed="false">
      <c r="B27" s="16" t="s">
        <v>27</v>
      </c>
      <c r="C27" s="16"/>
      <c r="D27" s="16"/>
    </row>
    <row r="28" customFormat="false" ht="4.5" hidden="false" customHeight="true" outlineLevel="0" collapsed="false"/>
    <row r="29" customFormat="false" ht="15.75" hidden="false" customHeight="true" outlineLevel="0" collapsed="false">
      <c r="B29" s="13" t="s">
        <v>28</v>
      </c>
      <c r="C29" s="14" t="s">
        <v>29</v>
      </c>
      <c r="D29" s="15"/>
    </row>
    <row r="30" customFormat="false" ht="42" hidden="false" customHeight="true" outlineLevel="0" collapsed="false">
      <c r="B30" s="16" t="s">
        <v>30</v>
      </c>
      <c r="C30" s="16"/>
      <c r="D30" s="16"/>
    </row>
    <row r="31" customFormat="false" ht="4.5" hidden="false" customHeight="true" outlineLevel="0" collapsed="false"/>
    <row r="32" customFormat="false" ht="15.75" hidden="false" customHeight="true" outlineLevel="0" collapsed="false">
      <c r="B32" s="13" t="s">
        <v>31</v>
      </c>
      <c r="C32" s="14" t="s">
        <v>32</v>
      </c>
      <c r="D32" s="15"/>
    </row>
    <row r="33" customFormat="false" ht="42" hidden="false" customHeight="true" outlineLevel="0" collapsed="false">
      <c r="B33" s="16" t="s">
        <v>33</v>
      </c>
      <c r="C33" s="16"/>
      <c r="D33" s="16"/>
    </row>
    <row r="34" customFormat="false" ht="4.5" hidden="false" customHeight="true" outlineLevel="0" collapsed="false"/>
    <row r="35" customFormat="false" ht="15.75" hidden="false" customHeight="true" outlineLevel="0" collapsed="false">
      <c r="B35" s="13" t="s">
        <v>34</v>
      </c>
      <c r="C35" s="14" t="s">
        <v>35</v>
      </c>
      <c r="D35" s="15"/>
    </row>
    <row r="36" customFormat="false" ht="42" hidden="false" customHeight="true" outlineLevel="0" collapsed="false">
      <c r="B36" s="16" t="s">
        <v>36</v>
      </c>
      <c r="C36" s="16"/>
      <c r="D36" s="16"/>
    </row>
    <row r="37" customFormat="false" ht="4.5" hidden="false" customHeight="true" outlineLevel="0" collapsed="false"/>
    <row r="38" customFormat="false" ht="15.75" hidden="false" customHeight="true" outlineLevel="0" collapsed="false">
      <c r="B38" s="13" t="s">
        <v>37</v>
      </c>
      <c r="C38" s="14" t="s">
        <v>38</v>
      </c>
      <c r="D38" s="15"/>
    </row>
    <row r="39" customFormat="false" ht="42" hidden="false" customHeight="true" outlineLevel="0" collapsed="false">
      <c r="B39" s="16" t="s">
        <v>39</v>
      </c>
      <c r="C39" s="16"/>
      <c r="D39" s="16"/>
    </row>
    <row r="40" customFormat="false" ht="4.5" hidden="false" customHeight="true" outlineLevel="0" collapsed="false"/>
    <row r="41" customFormat="false" ht="9.75" hidden="false" customHeight="true" outlineLevel="0" collapsed="false"/>
    <row r="42" customFormat="false" ht="18" hidden="false" customHeight="true" outlineLevel="0" collapsed="false">
      <c r="A42" s="4" t="s">
        <v>40</v>
      </c>
      <c r="B42" s="4"/>
      <c r="C42" s="4"/>
      <c r="D42" s="4"/>
      <c r="E42" s="4"/>
    </row>
    <row r="44" customFormat="false" ht="15.75" hidden="false" customHeight="true" outlineLevel="0" collapsed="false">
      <c r="B44" s="17" t="s">
        <v>41</v>
      </c>
      <c r="C44" s="18"/>
      <c r="D44" s="18"/>
    </row>
    <row r="45" customFormat="false" ht="31.5" hidden="false" customHeight="true" outlineLevel="0" collapsed="false">
      <c r="B45" s="19" t="s">
        <v>42</v>
      </c>
      <c r="C45" s="19"/>
      <c r="D45" s="19"/>
    </row>
    <row r="46" customFormat="false" ht="15.75" hidden="false" customHeight="true" outlineLevel="0" collapsed="false">
      <c r="B46" s="17" t="s">
        <v>43</v>
      </c>
      <c r="C46" s="18"/>
      <c r="D46" s="18"/>
    </row>
    <row r="47" customFormat="false" ht="31.5" hidden="false" customHeight="true" outlineLevel="0" collapsed="false">
      <c r="B47" s="19" t="s">
        <v>44</v>
      </c>
      <c r="C47" s="19"/>
      <c r="D47" s="19"/>
    </row>
    <row r="48" customFormat="false" ht="15.75" hidden="false" customHeight="true" outlineLevel="0" collapsed="false">
      <c r="B48" s="17" t="s">
        <v>45</v>
      </c>
      <c r="C48" s="18"/>
      <c r="D48" s="18"/>
    </row>
    <row r="49" customFormat="false" ht="31.5" hidden="false" customHeight="true" outlineLevel="0" collapsed="false">
      <c r="B49" s="19" t="s">
        <v>46</v>
      </c>
      <c r="C49" s="19"/>
      <c r="D49" s="19"/>
    </row>
    <row r="50" customFormat="false" ht="15.75" hidden="false" customHeight="true" outlineLevel="0" collapsed="false">
      <c r="B50" s="17" t="s">
        <v>47</v>
      </c>
      <c r="C50" s="18"/>
      <c r="D50" s="18"/>
    </row>
    <row r="51" customFormat="false" ht="31.5" hidden="false" customHeight="true" outlineLevel="0" collapsed="false">
      <c r="B51" s="19" t="s">
        <v>48</v>
      </c>
      <c r="C51" s="19"/>
      <c r="D51" s="19"/>
    </row>
    <row r="52" customFormat="false" ht="15.75" hidden="false" customHeight="true" outlineLevel="0" collapsed="false">
      <c r="B52" s="17" t="s">
        <v>49</v>
      </c>
      <c r="C52" s="18"/>
      <c r="D52" s="18"/>
    </row>
    <row r="53" customFormat="false" ht="31.5" hidden="false" customHeight="true" outlineLevel="0" collapsed="false">
      <c r="B53" s="19" t="s">
        <v>50</v>
      </c>
      <c r="C53" s="19"/>
      <c r="D53" s="19"/>
    </row>
  </sheetData>
  <sheetProtection sheet="true" password="8e98"/>
  <mergeCells count="20">
    <mergeCell ref="A1:C1"/>
    <mergeCell ref="D1:E1"/>
    <mergeCell ref="A3:E3"/>
    <mergeCell ref="B5:D5"/>
    <mergeCell ref="A7:E7"/>
    <mergeCell ref="A15:E15"/>
    <mergeCell ref="B18:D18"/>
    <mergeCell ref="B21:D21"/>
    <mergeCell ref="B24:D24"/>
    <mergeCell ref="B27:D27"/>
    <mergeCell ref="B30:D30"/>
    <mergeCell ref="B33:D33"/>
    <mergeCell ref="B36:D36"/>
    <mergeCell ref="B39:D39"/>
    <mergeCell ref="A42:E42"/>
    <mergeCell ref="B45:D45"/>
    <mergeCell ref="B47:D47"/>
    <mergeCell ref="B49:D49"/>
    <mergeCell ref="B51:D51"/>
    <mergeCell ref="B53:D53"/>
  </mergeCells>
  <printOptions headings="false" gridLines="false" gridLinesSet="true" horizontalCentered="false" verticalCentered="false"/>
  <pageMargins left="0.5" right="0.5" top="0.6" bottom="0.6"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28"/>
    <col collapsed="false" customWidth="true" hidden="false" outlineLevel="0" max="3" min="3" style="1" width="13"/>
    <col collapsed="false" customWidth="true" hidden="false" outlineLevel="0" max="4" min="4" style="1" width="10"/>
    <col collapsed="false" customWidth="true" hidden="false" outlineLevel="0" max="5" min="5" style="1" width="9"/>
    <col collapsed="false" customWidth="true" hidden="false" outlineLevel="0" max="6" min="6" style="1" width="13"/>
    <col collapsed="false" customWidth="true" hidden="false" outlineLevel="0" max="7" min="7" style="1" width="14"/>
    <col collapsed="false" customWidth="true" hidden="false" outlineLevel="0" max="8" min="8" style="1" width="2.5"/>
    <col collapsed="false" customWidth="true" hidden="false" outlineLevel="0" max="9" min="9" style="1" width="22"/>
    <col collapsed="false" customWidth="true" hidden="false" outlineLevel="0" max="12" min="10" style="1" width="11"/>
    <col collapsed="false" customWidth="true" hidden="false" outlineLevel="0" max="13" min="13" style="1" width="2.5"/>
  </cols>
  <sheetData>
    <row r="1" customFormat="false" ht="37.5" hidden="false" customHeight="true" outlineLevel="0" collapsed="false">
      <c r="A1" s="20" t="s">
        <v>51</v>
      </c>
      <c r="B1" s="20"/>
      <c r="C1" s="20"/>
      <c r="D1" s="20"/>
      <c r="E1" s="20"/>
      <c r="F1" s="20"/>
      <c r="G1" s="20"/>
      <c r="H1" s="20"/>
      <c r="I1" s="20"/>
      <c r="J1" s="20"/>
      <c r="K1" s="3" t="s">
        <v>1</v>
      </c>
      <c r="L1" s="3"/>
      <c r="M1" s="3"/>
    </row>
    <row r="2" customFormat="false" ht="6" hidden="false" customHeight="true" outlineLevel="0" collapsed="false"/>
    <row r="3" customFormat="false" ht="18" hidden="false" customHeight="true" outlineLevel="0" collapsed="false">
      <c r="A3" s="4" t="s">
        <v>52</v>
      </c>
      <c r="B3" s="4"/>
      <c r="C3" s="4"/>
      <c r="D3" s="4"/>
      <c r="E3" s="4"/>
      <c r="F3" s="4"/>
      <c r="G3" s="4"/>
      <c r="H3" s="4"/>
      <c r="I3" s="4"/>
      <c r="J3" s="4"/>
      <c r="K3" s="4"/>
      <c r="L3" s="4"/>
      <c r="M3" s="4"/>
    </row>
    <row r="4" customFormat="false" ht="15.75" hidden="false" customHeight="true" outlineLevel="0" collapsed="false">
      <c r="B4" s="12" t="s">
        <v>53</v>
      </c>
      <c r="C4" s="12" t="s">
        <v>54</v>
      </c>
      <c r="D4" s="12" t="s">
        <v>55</v>
      </c>
      <c r="E4" s="12" t="s">
        <v>56</v>
      </c>
      <c r="F4" s="12" t="s">
        <v>57</v>
      </c>
      <c r="G4" s="12" t="s">
        <v>58</v>
      </c>
    </row>
    <row r="5" customFormat="false" ht="18" hidden="false" customHeight="true" outlineLevel="0" collapsed="false">
      <c r="B5" s="21"/>
      <c r="C5" s="21"/>
      <c r="D5" s="21"/>
      <c r="E5" s="22"/>
      <c r="F5" s="23" t="n">
        <v>46105</v>
      </c>
      <c r="G5" s="21"/>
    </row>
    <row r="6" customFormat="false" ht="7.5" hidden="false" customHeight="true" outlineLevel="0" collapsed="false"/>
    <row r="7" customFormat="false" ht="18" hidden="false" customHeight="true" outlineLevel="0" collapsed="false">
      <c r="A7" s="4" t="s">
        <v>59</v>
      </c>
      <c r="B7" s="4"/>
      <c r="C7" s="4"/>
      <c r="D7" s="4"/>
      <c r="E7" s="4"/>
      <c r="F7" s="4"/>
      <c r="G7" s="4"/>
      <c r="H7" s="24"/>
      <c r="I7" s="25" t="s">
        <v>60</v>
      </c>
      <c r="J7" s="25"/>
      <c r="K7" s="25"/>
      <c r="L7" s="25"/>
    </row>
    <row r="8" customFormat="false" ht="27.75" hidden="false" customHeight="true" outlineLevel="0" collapsed="false">
      <c r="B8" s="26" t="s">
        <v>61</v>
      </c>
      <c r="C8" s="26" t="s">
        <v>62</v>
      </c>
      <c r="D8" s="26" t="s">
        <v>56</v>
      </c>
      <c r="E8" s="26" t="s">
        <v>63</v>
      </c>
      <c r="F8" s="26" t="s">
        <v>64</v>
      </c>
      <c r="G8" s="26" t="s">
        <v>65</v>
      </c>
      <c r="H8" s="24"/>
      <c r="I8" s="26" t="s">
        <v>66</v>
      </c>
      <c r="J8" s="26" t="s">
        <v>67</v>
      </c>
      <c r="K8" s="26" t="s">
        <v>68</v>
      </c>
      <c r="L8" s="26" t="s">
        <v>69</v>
      </c>
    </row>
    <row r="9" customFormat="false" ht="15.75" hidden="false" customHeight="true" outlineLevel="0" collapsed="false">
      <c r="B9" s="27"/>
      <c r="C9" s="28" t="str">
        <f aca="false">IFERROR(VLOOKUP(B9,'Rate Table'!$B$24:$D$31,2,FALSE()),"")</f>
        <v/>
      </c>
      <c r="D9" s="29"/>
      <c r="E9" s="30" t="str">
        <f aca="false">IFERROR(VLOOKUP(B9,'Rate Table'!$B$24:$D$31,3,FALSE()),"")</f>
        <v/>
      </c>
      <c r="F9" s="31"/>
      <c r="G9" s="32" t="str">
        <f aca="false">IF(OR(C9="",D9=""),"-",C9*D9*(1+IF(F9="",0,F9)))</f>
        <v>-</v>
      </c>
      <c r="H9" s="24"/>
      <c r="I9" s="33" t="str">
        <f aca="false">'Rate Table'!B24</f>
        <v>Steel Sheet, 11ga</v>
      </c>
      <c r="J9" s="34" t="n">
        <f aca="false">'Rate Table'!C24</f>
        <v>1.85</v>
      </c>
      <c r="K9" s="35" t="str">
        <f aca="false">'Rate Table'!D24</f>
        <v>sqft</v>
      </c>
      <c r="L9" s="33" t="str">
        <f aca="false">'Rate Table'!E24</f>
        <v>Hot-rolled</v>
      </c>
    </row>
    <row r="10" customFormat="false" ht="15.75" hidden="false" customHeight="true" outlineLevel="0" collapsed="false">
      <c r="B10" s="27"/>
      <c r="C10" s="28" t="str">
        <f aca="false">IFERROR(VLOOKUP(B10,'Rate Table'!$B$24:$D$31,2,FALSE()),"")</f>
        <v/>
      </c>
      <c r="D10" s="29"/>
      <c r="E10" s="30" t="str">
        <f aca="false">IFERROR(VLOOKUP(B10,'Rate Table'!$B$24:$D$31,3,FALSE()),"")</f>
        <v/>
      </c>
      <c r="F10" s="31"/>
      <c r="G10" s="32" t="str">
        <f aca="false">IF(OR(C10="",D10=""),"-",C10*D10*(1+IF(F10="",0,F10)))</f>
        <v>-</v>
      </c>
      <c r="H10" s="24"/>
      <c r="I10" s="33" t="str">
        <f aca="false">'Rate Table'!B25</f>
        <v>Aluminum Plate, 1/4"</v>
      </c>
      <c r="J10" s="34" t="n">
        <f aca="false">'Rate Table'!C25</f>
        <v>4.2</v>
      </c>
      <c r="K10" s="35" t="str">
        <f aca="false">'Rate Table'!D25</f>
        <v>sqft</v>
      </c>
      <c r="L10" s="33" t="str">
        <f aca="false">'Rate Table'!E25</f>
        <v>6061-T6</v>
      </c>
    </row>
    <row r="11" customFormat="false" ht="15.75" hidden="false" customHeight="true" outlineLevel="0" collapsed="false">
      <c r="B11" s="27"/>
      <c r="C11" s="28" t="str">
        <f aca="false">IFERROR(VLOOKUP(B11,'Rate Table'!$B$24:$D$31,2,FALSE()),"")</f>
        <v/>
      </c>
      <c r="D11" s="29"/>
      <c r="E11" s="30" t="str">
        <f aca="false">IFERROR(VLOOKUP(B11,'Rate Table'!$B$24:$D$31,3,FALSE()),"")</f>
        <v/>
      </c>
      <c r="F11" s="31"/>
      <c r="G11" s="32" t="str">
        <f aca="false">IF(OR(C11="",D11=""),"-",C11*D11*(1+IF(F11="",0,F11)))</f>
        <v>-</v>
      </c>
      <c r="H11" s="24"/>
      <c r="I11" s="33" t="str">
        <f aca="false">'Rate Table'!B26</f>
        <v>Steel Tube, 2x2x.120</v>
      </c>
      <c r="J11" s="34" t="n">
        <f aca="false">'Rate Table'!C26</f>
        <v>3.1</v>
      </c>
      <c r="K11" s="35" t="str">
        <f aca="false">'Rate Table'!D26</f>
        <v>ft</v>
      </c>
      <c r="L11" s="33" t="str">
        <f aca="false">'Rate Table'!E26</f>
        <v>A500 square</v>
      </c>
    </row>
    <row r="12" customFormat="false" ht="15.75" hidden="false" customHeight="true" outlineLevel="0" collapsed="false">
      <c r="B12" s="27"/>
      <c r="C12" s="28" t="str">
        <f aca="false">IFERROR(VLOOKUP(B12,'Rate Table'!$B$24:$D$31,2,FALSE()),"")</f>
        <v/>
      </c>
      <c r="D12" s="29"/>
      <c r="E12" s="30" t="str">
        <f aca="false">IFERROR(VLOOKUP(B12,'Rate Table'!$B$24:$D$31,3,FALSE()),"")</f>
        <v/>
      </c>
      <c r="F12" s="31"/>
      <c r="G12" s="32" t="str">
        <f aca="false">IF(OR(C12="",D12=""),"-",C12*D12*(1+IF(F12="",0,F12)))</f>
        <v>-</v>
      </c>
      <c r="H12" s="24"/>
      <c r="I12" s="33" t="str">
        <f aca="false">'Rate Table'!B27</f>
        <v>Hardware / Fasteners</v>
      </c>
      <c r="J12" s="34" t="n">
        <f aca="false">'Rate Table'!C27</f>
        <v>0.15</v>
      </c>
      <c r="K12" s="35" t="str">
        <f aca="false">'Rate Table'!D27</f>
        <v>ea</v>
      </c>
      <c r="L12" s="33" t="str">
        <f aca="false">'Rate Table'!E27</f>
        <v>Avg per piece</v>
      </c>
    </row>
    <row r="13" customFormat="false" ht="15.75" hidden="false" customHeight="true" outlineLevel="0" collapsed="false">
      <c r="B13" s="27"/>
      <c r="C13" s="28" t="str">
        <f aca="false">IFERROR(VLOOKUP(B13,'Rate Table'!$B$24:$D$31,2,FALSE()),"")</f>
        <v/>
      </c>
      <c r="D13" s="29"/>
      <c r="E13" s="30" t="str">
        <f aca="false">IFERROR(VLOOKUP(B13,'Rate Table'!$B$24:$D$31,3,FALSE()),"")</f>
        <v/>
      </c>
      <c r="F13" s="31"/>
      <c r="G13" s="32" t="str">
        <f aca="false">IF(OR(C13="",D13=""),"-",C13*D13*(1+IF(F13="",0,F13)))</f>
        <v>-</v>
      </c>
      <c r="H13" s="24"/>
      <c r="I13" s="33" t="str">
        <f aca="false">'Rate Table'!B28</f>
        <v>Welding Wire / Consumables</v>
      </c>
      <c r="J13" s="34" t="n">
        <f aca="false">'Rate Table'!C28</f>
        <v>0.5</v>
      </c>
      <c r="K13" s="35" t="str">
        <f aca="false">'Rate Table'!D28</f>
        <v>lb</v>
      </c>
      <c r="L13" s="33" t="str">
        <f aca="false">'Rate Table'!E28</f>
        <v>ER70S-6</v>
      </c>
    </row>
    <row r="14" customFormat="false" ht="15.75" hidden="false" customHeight="true" outlineLevel="0" collapsed="false">
      <c r="B14" s="27"/>
      <c r="C14" s="28" t="str">
        <f aca="false">IFERROR(VLOOKUP(B14,'Rate Table'!$B$24:$D$31,2,FALSE()),"")</f>
        <v/>
      </c>
      <c r="D14" s="29"/>
      <c r="E14" s="30" t="str">
        <f aca="false">IFERROR(VLOOKUP(B14,'Rate Table'!$B$24:$D$31,3,FALSE()),"")</f>
        <v/>
      </c>
      <c r="F14" s="31"/>
      <c r="G14" s="32" t="str">
        <f aca="false">IF(OR(C14="",D14=""),"-",C14*D14*(1+IF(F14="",0,F14)))</f>
        <v>-</v>
      </c>
      <c r="H14" s="24"/>
      <c r="I14" s="33" t="str">
        <f aca="false">'Rate Table'!B29</f>
        <v>Paint / Powder Coat</v>
      </c>
      <c r="J14" s="34" t="n">
        <f aca="false">'Rate Table'!C29</f>
        <v>1.2</v>
      </c>
      <c r="K14" s="35" t="str">
        <f aca="false">'Rate Table'!D29</f>
        <v>sqft</v>
      </c>
      <c r="L14" s="33" t="str">
        <f aca="false">'Rate Table'!E29</f>
        <v>Single coat</v>
      </c>
    </row>
    <row r="15" customFormat="false" ht="15.75" hidden="false" customHeight="true" outlineLevel="0" collapsed="false">
      <c r="B15" s="27"/>
      <c r="C15" s="28" t="str">
        <f aca="false">IFERROR(VLOOKUP(B15,'Rate Table'!$B$24:$D$31,2,FALSE()),"")</f>
        <v/>
      </c>
      <c r="D15" s="29"/>
      <c r="E15" s="30" t="str">
        <f aca="false">IFERROR(VLOOKUP(B15,'Rate Table'!$B$24:$D$31,3,FALSE()),"")</f>
        <v/>
      </c>
      <c r="F15" s="31"/>
      <c r="G15" s="32" t="str">
        <f aca="false">IF(OR(C15="",D15=""),"-",C15*D15*(1+IF(F15="",0,F15)))</f>
        <v>-</v>
      </c>
      <c r="H15" s="24"/>
      <c r="I15" s="33" t="str">
        <f aca="false">'Rate Table'!B30</f>
        <v>Aluminum Extrusion</v>
      </c>
      <c r="J15" s="34" t="n">
        <f aca="false">'Rate Table'!C30</f>
        <v>2.8</v>
      </c>
      <c r="K15" s="35" t="str">
        <f aca="false">'Rate Table'!D30</f>
        <v>ft</v>
      </c>
      <c r="L15" s="33" t="str">
        <f aca="false">'Rate Table'!E30</f>
        <v>6063-T5</v>
      </c>
    </row>
    <row r="16" customFormat="false" ht="15.75" hidden="false" customHeight="true" outlineLevel="0" collapsed="false">
      <c r="B16" s="27"/>
      <c r="C16" s="28" t="str">
        <f aca="false">IFERROR(VLOOKUP(B16,'Rate Table'!$B$24:$D$31,2,FALSE()),"")</f>
        <v/>
      </c>
      <c r="D16" s="29"/>
      <c r="E16" s="30" t="str">
        <f aca="false">IFERROR(VLOOKUP(B16,'Rate Table'!$B$24:$D$31,3,FALSE()),"")</f>
        <v/>
      </c>
      <c r="F16" s="31"/>
      <c r="G16" s="32" t="str">
        <f aca="false">IF(OR(C16="",D16=""),"-",C16*D16*(1+IF(F16="",0,F16)))</f>
        <v>-</v>
      </c>
      <c r="H16" s="24"/>
      <c r="I16" s="33" t="str">
        <f aca="false">'Rate Table'!B31</f>
        <v>Misc Raw Material</v>
      </c>
      <c r="J16" s="34" t="n">
        <f aca="false">'Rate Table'!C31</f>
        <v>1</v>
      </c>
      <c r="K16" s="35" t="str">
        <f aca="false">'Rate Table'!D31</f>
        <v>ea</v>
      </c>
      <c r="L16" s="33" t="str">
        <f aca="false">'Rate Table'!E31</f>
        <v>Adjust as needed</v>
      </c>
    </row>
    <row r="17" customFormat="false" ht="15.75" hidden="false" customHeight="true" outlineLevel="0" collapsed="false">
      <c r="B17" s="27"/>
      <c r="C17" s="28" t="str">
        <f aca="false">IFERROR(VLOOKUP(B17,'Rate Table'!$B$24:$D$31,2,FALSE()),"")</f>
        <v/>
      </c>
      <c r="D17" s="29"/>
      <c r="E17" s="30" t="str">
        <f aca="false">IFERROR(VLOOKUP(B17,'Rate Table'!$B$24:$D$31,3,FALSE()),"")</f>
        <v/>
      </c>
      <c r="F17" s="31"/>
      <c r="G17" s="32" t="str">
        <f aca="false">IF(OR(C17="",D17=""),"-",C17*D17*(1+IF(F17="",0,F17)))</f>
        <v>-</v>
      </c>
      <c r="H17" s="24"/>
      <c r="I17" s="8"/>
      <c r="J17" s="8"/>
      <c r="K17" s="8"/>
      <c r="L17" s="8"/>
    </row>
    <row r="18" customFormat="false" ht="15.75" hidden="false" customHeight="true" outlineLevel="0" collapsed="false">
      <c r="B18" s="27"/>
      <c r="C18" s="28" t="str">
        <f aca="false">IFERROR(VLOOKUP(B18,'Rate Table'!$B$24:$D$31,2,FALSE()),"")</f>
        <v/>
      </c>
      <c r="D18" s="29"/>
      <c r="E18" s="30" t="str">
        <f aca="false">IFERROR(VLOOKUP(B18,'Rate Table'!$B$24:$D$31,3,FALSE()),"")</f>
        <v/>
      </c>
      <c r="F18" s="31"/>
      <c r="G18" s="32" t="str">
        <f aca="false">IF(OR(C18="",D18=""),"-",C18*D18*(1+IF(F18="",0,F18)))</f>
        <v>-</v>
      </c>
      <c r="H18" s="24"/>
      <c r="I18" s="8"/>
      <c r="J18" s="8"/>
      <c r="K18" s="8"/>
      <c r="L18" s="8"/>
    </row>
    <row r="19" customFormat="false" ht="15.75" hidden="false" customHeight="true" outlineLevel="0" collapsed="false">
      <c r="B19" s="36" t="s">
        <v>70</v>
      </c>
      <c r="C19" s="36"/>
      <c r="D19" s="36"/>
      <c r="E19" s="36"/>
      <c r="F19" s="36"/>
      <c r="G19" s="37" t="n">
        <f aca="false">SUM(G9:G18)</f>
        <v>0</v>
      </c>
      <c r="I19" s="8"/>
      <c r="J19" s="8"/>
      <c r="K19" s="8"/>
      <c r="L19" s="8"/>
    </row>
    <row r="20" customFormat="false" ht="7.5" hidden="false" customHeight="true" outlineLevel="0" collapsed="false">
      <c r="H20" s="24"/>
      <c r="I20" s="24"/>
      <c r="J20" s="24"/>
      <c r="K20" s="24"/>
      <c r="L20" s="24"/>
    </row>
    <row r="21" customFormat="false" ht="18" hidden="false" customHeight="true" outlineLevel="0" collapsed="false">
      <c r="A21" s="4" t="s">
        <v>71</v>
      </c>
      <c r="B21" s="4"/>
      <c r="C21" s="4"/>
      <c r="D21" s="4"/>
      <c r="E21" s="4"/>
      <c r="F21" s="4"/>
      <c r="G21" s="4"/>
      <c r="H21" s="24"/>
      <c r="I21" s="25" t="s">
        <v>72</v>
      </c>
      <c r="J21" s="25"/>
      <c r="K21" s="25"/>
      <c r="L21" s="25"/>
    </row>
    <row r="22" customFormat="false" ht="27.75" hidden="false" customHeight="true" outlineLevel="0" collapsed="false">
      <c r="B22" s="26" t="s">
        <v>73</v>
      </c>
      <c r="C22" s="26" t="s">
        <v>74</v>
      </c>
      <c r="D22" s="26"/>
      <c r="E22" s="26"/>
      <c r="F22" s="26" t="s">
        <v>75</v>
      </c>
      <c r="G22" s="26" t="s">
        <v>65</v>
      </c>
      <c r="H22" s="24"/>
      <c r="I22" s="26" t="s">
        <v>76</v>
      </c>
      <c r="J22" s="26" t="s">
        <v>77</v>
      </c>
      <c r="K22" s="26" t="s">
        <v>78</v>
      </c>
      <c r="L22" s="26" t="s">
        <v>69</v>
      </c>
    </row>
    <row r="23" customFormat="false" ht="15.75" hidden="false" customHeight="true" outlineLevel="0" collapsed="false">
      <c r="B23" s="27"/>
      <c r="C23" s="29"/>
      <c r="D23" s="8"/>
      <c r="E23" s="8"/>
      <c r="F23" s="28" t="str">
        <f aca="false">IFERROR(VLOOKUP(B23,'Rate Table'!$B$5:$C$9,2,FALSE()),"")</f>
        <v/>
      </c>
      <c r="G23" s="32" t="str">
        <f aca="false">IF(OR(C23="",F23=""),"-",C23*F23)</f>
        <v>-</v>
      </c>
      <c r="H23" s="24"/>
      <c r="I23" s="33" t="str">
        <f aca="false">'Rate Table'!B5</f>
        <v>General Labor</v>
      </c>
      <c r="J23" s="34" t="n">
        <f aca="false">'Rate Table'!C5</f>
        <v>18</v>
      </c>
      <c r="K23" s="34" t="n">
        <f aca="false">'Rate Table'!D5</f>
        <v>27</v>
      </c>
      <c r="L23" s="33" t="n">
        <f aca="false">'Rate Table'!E5</f>
        <v>0</v>
      </c>
    </row>
    <row r="24" customFormat="false" ht="15.75" hidden="false" customHeight="true" outlineLevel="0" collapsed="false">
      <c r="B24" s="27"/>
      <c r="C24" s="29"/>
      <c r="D24" s="8"/>
      <c r="E24" s="8"/>
      <c r="F24" s="28" t="str">
        <f aca="false">IFERROR(VLOOKUP(B24,'Rate Table'!$B$5:$C$9,2,FALSE()),"")</f>
        <v/>
      </c>
      <c r="G24" s="32" t="str">
        <f aca="false">IF(OR(C24="",F24=""),"-",C24*F24)</f>
        <v>-</v>
      </c>
      <c r="H24" s="24"/>
      <c r="I24" s="33" t="str">
        <f aca="false">'Rate Table'!B6</f>
        <v>Skilled Machinist</v>
      </c>
      <c r="J24" s="34" t="n">
        <f aca="false">'Rate Table'!C6</f>
        <v>28</v>
      </c>
      <c r="K24" s="34" t="n">
        <f aca="false">'Rate Table'!D6</f>
        <v>42</v>
      </c>
      <c r="L24" s="33" t="str">
        <f aca="false">'Rate Table'!E6</f>
        <v>CNC, lathe</v>
      </c>
    </row>
    <row r="25" customFormat="false" ht="15.75" hidden="false" customHeight="true" outlineLevel="0" collapsed="false">
      <c r="B25" s="27"/>
      <c r="C25" s="29"/>
      <c r="D25" s="8"/>
      <c r="E25" s="8"/>
      <c r="F25" s="28" t="str">
        <f aca="false">IFERROR(VLOOKUP(B25,'Rate Table'!$B$5:$C$9,2,FALSE()),"")</f>
        <v/>
      </c>
      <c r="G25" s="32" t="str">
        <f aca="false">IF(OR(C25="",F25=""),"-",C25*F25)</f>
        <v>-</v>
      </c>
      <c r="H25" s="24"/>
      <c r="I25" s="33" t="str">
        <f aca="false">'Rate Table'!B7</f>
        <v>Welder / Fabricator</v>
      </c>
      <c r="J25" s="34" t="n">
        <f aca="false">'Rate Table'!C7</f>
        <v>26</v>
      </c>
      <c r="K25" s="34" t="n">
        <f aca="false">'Rate Table'!D7</f>
        <v>39</v>
      </c>
      <c r="L25" s="33" t="n">
        <f aca="false">'Rate Table'!E7</f>
        <v>0</v>
      </c>
    </row>
    <row r="26" customFormat="false" ht="15.75" hidden="false" customHeight="true" outlineLevel="0" collapsed="false">
      <c r="B26" s="27"/>
      <c r="C26" s="29"/>
      <c r="D26" s="8"/>
      <c r="E26" s="8"/>
      <c r="F26" s="28" t="str">
        <f aca="false">IFERROR(VLOOKUP(B26,'Rate Table'!$B$5:$C$9,2,FALSE()),"")</f>
        <v/>
      </c>
      <c r="G26" s="32" t="str">
        <f aca="false">IF(OR(C26="",F26=""),"-",C26*F26)</f>
        <v>-</v>
      </c>
      <c r="H26" s="24"/>
      <c r="I26" s="33" t="str">
        <f aca="false">'Rate Table'!B8</f>
        <v>Assembly Tech</v>
      </c>
      <c r="J26" s="34" t="n">
        <f aca="false">'Rate Table'!C8</f>
        <v>22</v>
      </c>
      <c r="K26" s="34" t="n">
        <f aca="false">'Rate Table'!D8</f>
        <v>33</v>
      </c>
      <c r="L26" s="33" t="n">
        <f aca="false">'Rate Table'!E8</f>
        <v>0</v>
      </c>
    </row>
    <row r="27" customFormat="false" ht="15.75" hidden="false" customHeight="true" outlineLevel="0" collapsed="false">
      <c r="B27" s="27"/>
      <c r="C27" s="29"/>
      <c r="D27" s="8"/>
      <c r="E27" s="8"/>
      <c r="F27" s="28" t="str">
        <f aca="false">IFERROR(VLOOKUP(B27,'Rate Table'!$B$5:$C$9,2,FALSE()),"")</f>
        <v/>
      </c>
      <c r="G27" s="32" t="str">
        <f aca="false">IF(OR(C27="",F27=""),"-",C27*F27)</f>
        <v>-</v>
      </c>
      <c r="H27" s="24"/>
      <c r="I27" s="33" t="str">
        <f aca="false">'Rate Table'!B9</f>
        <v>Quality Inspector</v>
      </c>
      <c r="J27" s="34" t="n">
        <f aca="false">'Rate Table'!C9</f>
        <v>24</v>
      </c>
      <c r="K27" s="34" t="n">
        <f aca="false">'Rate Table'!D9</f>
        <v>36</v>
      </c>
      <c r="L27" s="33" t="n">
        <f aca="false">'Rate Table'!E9</f>
        <v>0</v>
      </c>
    </row>
    <row r="28" customFormat="false" ht="15.75" hidden="false" customHeight="true" outlineLevel="0" collapsed="false">
      <c r="B28" s="27"/>
      <c r="C28" s="29"/>
      <c r="D28" s="8"/>
      <c r="E28" s="8"/>
      <c r="F28" s="28" t="str">
        <f aca="false">IFERROR(VLOOKUP(B28,'Rate Table'!$B$5:$C$9,2,FALSE()),"")</f>
        <v/>
      </c>
      <c r="G28" s="32" t="str">
        <f aca="false">IF(OR(C28="",F28=""),"-",C28*F28)</f>
        <v>-</v>
      </c>
      <c r="H28" s="24"/>
      <c r="I28" s="8"/>
      <c r="J28" s="8"/>
      <c r="K28" s="8"/>
      <c r="L28" s="8"/>
    </row>
    <row r="29" customFormat="false" ht="15.75" hidden="false" customHeight="true" outlineLevel="0" collapsed="false">
      <c r="B29" s="27"/>
      <c r="C29" s="29"/>
      <c r="D29" s="8"/>
      <c r="E29" s="8"/>
      <c r="F29" s="28" t="str">
        <f aca="false">IFERROR(VLOOKUP(B29,'Rate Table'!$B$5:$C$9,2,FALSE()),"")</f>
        <v/>
      </c>
      <c r="G29" s="32" t="str">
        <f aca="false">IF(OR(C29="",F29=""),"-",C29*F29)</f>
        <v>-</v>
      </c>
      <c r="H29" s="24"/>
      <c r="I29" s="8"/>
      <c r="J29" s="8"/>
      <c r="K29" s="8"/>
      <c r="L29" s="8"/>
    </row>
    <row r="30" customFormat="false" ht="15.75" hidden="false" customHeight="true" outlineLevel="0" collapsed="false">
      <c r="B30" s="27"/>
      <c r="C30" s="29"/>
      <c r="D30" s="8"/>
      <c r="E30" s="8"/>
      <c r="F30" s="28" t="str">
        <f aca="false">IFERROR(VLOOKUP(B30,'Rate Table'!$B$5:$C$9,2,FALSE()),"")</f>
        <v/>
      </c>
      <c r="G30" s="32" t="str">
        <f aca="false">IF(OR(C30="",F30=""),"-",C30*F30)</f>
        <v>-</v>
      </c>
      <c r="H30" s="24"/>
      <c r="I30" s="8"/>
      <c r="J30" s="8"/>
      <c r="K30" s="8"/>
      <c r="L30" s="8"/>
    </row>
    <row r="31" customFormat="false" ht="15.75" hidden="false" customHeight="true" outlineLevel="0" collapsed="false">
      <c r="B31" s="36" t="s">
        <v>79</v>
      </c>
      <c r="C31" s="36"/>
      <c r="D31" s="36"/>
      <c r="E31" s="36"/>
      <c r="F31" s="36"/>
      <c r="G31" s="37" t="n">
        <f aca="false">SUM(G23:G30)</f>
        <v>0</v>
      </c>
      <c r="I31" s="8"/>
      <c r="J31" s="8"/>
      <c r="K31" s="8"/>
      <c r="L31" s="8"/>
    </row>
    <row r="32" customFormat="false" ht="7.5" hidden="false" customHeight="true" outlineLevel="0" collapsed="false">
      <c r="H32" s="24"/>
      <c r="I32" s="24"/>
      <c r="J32" s="24"/>
      <c r="K32" s="24"/>
      <c r="L32" s="24"/>
    </row>
    <row r="33" customFormat="false" ht="18" hidden="false" customHeight="true" outlineLevel="0" collapsed="false">
      <c r="A33" s="4" t="s">
        <v>80</v>
      </c>
      <c r="B33" s="4"/>
      <c r="C33" s="4"/>
      <c r="D33" s="4"/>
      <c r="E33" s="4"/>
      <c r="F33" s="4"/>
      <c r="G33" s="4"/>
      <c r="H33" s="24"/>
      <c r="I33" s="25" t="s">
        <v>81</v>
      </c>
      <c r="J33" s="25"/>
      <c r="K33" s="25"/>
      <c r="L33" s="25"/>
    </row>
    <row r="34" customFormat="false" ht="27.75" hidden="false" customHeight="true" outlineLevel="0" collapsed="false">
      <c r="B34" s="26" t="s">
        <v>82</v>
      </c>
      <c r="C34" s="26" t="s">
        <v>83</v>
      </c>
      <c r="D34" s="26" t="s">
        <v>84</v>
      </c>
      <c r="E34" s="26" t="s">
        <v>85</v>
      </c>
      <c r="F34" s="26" t="s">
        <v>86</v>
      </c>
      <c r="G34" s="26" t="s">
        <v>65</v>
      </c>
      <c r="H34" s="24"/>
      <c r="I34" s="26" t="s">
        <v>87</v>
      </c>
      <c r="J34" s="26" t="s">
        <v>88</v>
      </c>
      <c r="K34" s="26" t="s">
        <v>89</v>
      </c>
      <c r="L34" s="26" t="s">
        <v>69</v>
      </c>
    </row>
    <row r="35" customFormat="false" ht="15.75" hidden="false" customHeight="true" outlineLevel="0" collapsed="false">
      <c r="B35" s="27"/>
      <c r="C35" s="29"/>
      <c r="D35" s="29"/>
      <c r="E35" s="38" t="str">
        <f aca="false">IF(AND(C35="",D35=""),"-",IF(C35="",0,C35)+IF(D35="",0,D35))</f>
        <v>-</v>
      </c>
      <c r="F35" s="28" t="str">
        <f aca="false">IFERROR(VLOOKUP(B35,'Rate Table'!$B$14:$C$19,2,FALSE()),"")</f>
        <v/>
      </c>
      <c r="G35" s="32" t="str">
        <f aca="false">IF(OR(E35="-",E35=0,F35=""),"-",E35*F35)</f>
        <v>-</v>
      </c>
      <c r="H35" s="24"/>
      <c r="I35" s="33" t="str">
        <f aca="false">'Rate Table'!B14</f>
        <v>CNC Machining Center</v>
      </c>
      <c r="J35" s="34" t="n">
        <f aca="false">'Rate Table'!C14</f>
        <v>85</v>
      </c>
      <c r="K35" s="39" t="n">
        <f aca="false">'Rate Table'!D14</f>
        <v>20</v>
      </c>
      <c r="L35" s="33" t="str">
        <f aca="false">'Rate Table'!E14</f>
        <v>3-axis</v>
      </c>
    </row>
    <row r="36" customFormat="false" ht="15.75" hidden="false" customHeight="true" outlineLevel="0" collapsed="false">
      <c r="B36" s="27"/>
      <c r="C36" s="29"/>
      <c r="D36" s="29"/>
      <c r="E36" s="38" t="str">
        <f aca="false">IF(AND(C36="",D36=""),"-",IF(C36="",0,C36)+IF(D36="",0,D36))</f>
        <v>-</v>
      </c>
      <c r="F36" s="28" t="str">
        <f aca="false">IFERROR(VLOOKUP(B36,'Rate Table'!$B$14:$C$19,2,FALSE()),"")</f>
        <v/>
      </c>
      <c r="G36" s="32" t="str">
        <f aca="false">IF(OR(E36="-",E36=0,F36=""),"-",E36*F36)</f>
        <v>-</v>
      </c>
      <c r="H36" s="24"/>
      <c r="I36" s="33" t="str">
        <f aca="false">'Rate Table'!B15</f>
        <v>Laser Cutter</v>
      </c>
      <c r="J36" s="34" t="n">
        <f aca="false">'Rate Table'!C15</f>
        <v>60</v>
      </c>
      <c r="K36" s="39" t="n">
        <f aca="false">'Rate Table'!D15</f>
        <v>18</v>
      </c>
      <c r="L36" s="33" t="str">
        <f aca="false">'Rate Table'!E15</f>
        <v>Fiber, up to 1" steel</v>
      </c>
    </row>
    <row r="37" customFormat="false" ht="15.75" hidden="false" customHeight="true" outlineLevel="0" collapsed="false">
      <c r="B37" s="27"/>
      <c r="C37" s="29"/>
      <c r="D37" s="29"/>
      <c r="E37" s="38" t="str">
        <f aca="false">IF(AND(C37="",D37=""),"-",IF(C37="",0,C37)+IF(D37="",0,D37))</f>
        <v>-</v>
      </c>
      <c r="F37" s="28" t="str">
        <f aca="false">IFERROR(VLOOKUP(B37,'Rate Table'!$B$14:$C$19,2,FALSE()),"")</f>
        <v/>
      </c>
      <c r="G37" s="32" t="str">
        <f aca="false">IF(OR(E37="-",E37=0,F37=""),"-",E37*F37)</f>
        <v>-</v>
      </c>
      <c r="H37" s="24"/>
      <c r="I37" s="33" t="str">
        <f aca="false">'Rate Table'!B16</f>
        <v>Press Brake</v>
      </c>
      <c r="J37" s="34" t="n">
        <f aca="false">'Rate Table'!C16</f>
        <v>45</v>
      </c>
      <c r="K37" s="39" t="n">
        <f aca="false">'Rate Table'!D16</f>
        <v>20</v>
      </c>
      <c r="L37" s="33" t="n">
        <f aca="false">'Rate Table'!E16</f>
        <v>0</v>
      </c>
    </row>
    <row r="38" customFormat="false" ht="15.75" hidden="false" customHeight="true" outlineLevel="0" collapsed="false">
      <c r="B38" s="27"/>
      <c r="C38" s="29"/>
      <c r="D38" s="29"/>
      <c r="E38" s="38" t="str">
        <f aca="false">IF(AND(C38="",D38=""),"-",IF(C38="",0,C38)+IF(D38="",0,D38))</f>
        <v>-</v>
      </c>
      <c r="F38" s="28" t="str">
        <f aca="false">IFERROR(VLOOKUP(B38,'Rate Table'!$B$14:$C$19,2,FALSE()),"")</f>
        <v/>
      </c>
      <c r="G38" s="32" t="str">
        <f aca="false">IF(OR(E38="-",E38=0,F38=""),"-",E38*F38)</f>
        <v>-</v>
      </c>
      <c r="H38" s="24"/>
      <c r="I38" s="33" t="str">
        <f aca="false">'Rate Table'!B17</f>
        <v>MIG Welder</v>
      </c>
      <c r="J38" s="34" t="n">
        <f aca="false">'Rate Table'!C17</f>
        <v>35</v>
      </c>
      <c r="K38" s="39" t="n">
        <f aca="false">'Rate Table'!D17</f>
        <v>16</v>
      </c>
      <c r="L38" s="33" t="str">
        <f aca="false">'Rate Table'!E17</f>
        <v>Per station</v>
      </c>
    </row>
    <row r="39" customFormat="false" ht="15.75" hidden="false" customHeight="true" outlineLevel="0" collapsed="false">
      <c r="B39" s="27"/>
      <c r="C39" s="29"/>
      <c r="D39" s="29"/>
      <c r="E39" s="38" t="str">
        <f aca="false">IF(AND(C39="",D39=""),"-",IF(C39="",0,C39)+IF(D39="",0,D39))</f>
        <v>-</v>
      </c>
      <c r="F39" s="28" t="str">
        <f aca="false">IFERROR(VLOOKUP(B39,'Rate Table'!$B$14:$C$19,2,FALSE()),"")</f>
        <v/>
      </c>
      <c r="G39" s="32" t="str">
        <f aca="false">IF(OR(E39="-",E39=0,F39=""),"-",E39*F39)</f>
        <v>-</v>
      </c>
      <c r="H39" s="24"/>
      <c r="I39" s="33" t="str">
        <f aca="false">'Rate Table'!B18</f>
        <v>Surface Grinder</v>
      </c>
      <c r="J39" s="34" t="n">
        <f aca="false">'Rate Table'!C18</f>
        <v>50</v>
      </c>
      <c r="K39" s="39" t="n">
        <f aca="false">'Rate Table'!D18</f>
        <v>16</v>
      </c>
      <c r="L39" s="33" t="n">
        <f aca="false">'Rate Table'!E18</f>
        <v>0</v>
      </c>
    </row>
    <row r="40" customFormat="false" ht="15.75" hidden="false" customHeight="true" outlineLevel="0" collapsed="false">
      <c r="B40" s="27"/>
      <c r="C40" s="29"/>
      <c r="D40" s="29"/>
      <c r="E40" s="38" t="str">
        <f aca="false">IF(AND(C40="",D40=""),"-",IF(C40="",0,C40)+IF(D40="",0,D40))</f>
        <v>-</v>
      </c>
      <c r="F40" s="28" t="str">
        <f aca="false">IFERROR(VLOOKUP(B40,'Rate Table'!$B$14:$C$19,2,FALSE()),"")</f>
        <v/>
      </c>
      <c r="G40" s="32" t="str">
        <f aca="false">IF(OR(E40="-",E40=0,F40=""),"-",E40*F40)</f>
        <v>-</v>
      </c>
      <c r="H40" s="24"/>
      <c r="I40" s="33" t="str">
        <f aca="false">'Rate Table'!B19</f>
        <v>Assembly Station</v>
      </c>
      <c r="J40" s="34" t="n">
        <f aca="false">'Rate Table'!C19</f>
        <v>25</v>
      </c>
      <c r="K40" s="39" t="n">
        <f aca="false">'Rate Table'!D19</f>
        <v>20</v>
      </c>
      <c r="L40" s="33" t="n">
        <f aca="false">'Rate Table'!E19</f>
        <v>0</v>
      </c>
    </row>
    <row r="41" customFormat="false" ht="15.75" hidden="false" customHeight="true" outlineLevel="0" collapsed="false">
      <c r="B41" s="27"/>
      <c r="C41" s="29"/>
      <c r="D41" s="29"/>
      <c r="E41" s="38" t="str">
        <f aca="false">IF(AND(C41="",D41=""),"-",IF(C41="",0,C41)+IF(D41="",0,D41))</f>
        <v>-</v>
      </c>
      <c r="F41" s="28" t="str">
        <f aca="false">IFERROR(VLOOKUP(B41,'Rate Table'!$B$14:$C$19,2,FALSE()),"")</f>
        <v/>
      </c>
      <c r="G41" s="32" t="str">
        <f aca="false">IF(OR(E41="-",E41=0,F41=""),"-",E41*F41)</f>
        <v>-</v>
      </c>
      <c r="H41" s="24"/>
      <c r="I41" s="8"/>
      <c r="J41" s="8"/>
      <c r="K41" s="8"/>
      <c r="L41" s="8"/>
    </row>
    <row r="42" customFormat="false" ht="15.75" hidden="false" customHeight="true" outlineLevel="0" collapsed="false">
      <c r="B42" s="27"/>
      <c r="C42" s="29"/>
      <c r="D42" s="29"/>
      <c r="E42" s="38" t="str">
        <f aca="false">IF(AND(C42="",D42=""),"-",IF(C42="",0,C42)+IF(D42="",0,D42))</f>
        <v>-</v>
      </c>
      <c r="F42" s="28" t="str">
        <f aca="false">IFERROR(VLOOKUP(B42,'Rate Table'!$B$14:$C$19,2,FALSE()),"")</f>
        <v/>
      </c>
      <c r="G42" s="32" t="str">
        <f aca="false">IF(OR(E42="-",E42=0,F42=""),"-",E42*F42)</f>
        <v>-</v>
      </c>
      <c r="H42" s="24"/>
      <c r="I42" s="8"/>
      <c r="J42" s="8"/>
      <c r="K42" s="8"/>
      <c r="L42" s="8"/>
    </row>
    <row r="43" customFormat="false" ht="15.75" hidden="false" customHeight="true" outlineLevel="0" collapsed="false">
      <c r="B43" s="36" t="s">
        <v>90</v>
      </c>
      <c r="C43" s="36"/>
      <c r="D43" s="36"/>
      <c r="E43" s="36"/>
      <c r="F43" s="36"/>
      <c r="G43" s="37" t="n">
        <f aca="false">SUM(G35:G42)</f>
        <v>0</v>
      </c>
      <c r="I43" s="8"/>
      <c r="J43" s="8"/>
      <c r="K43" s="8"/>
      <c r="L43" s="8"/>
    </row>
    <row r="44" customFormat="false" ht="7.5" hidden="false" customHeight="true" outlineLevel="0" collapsed="false"/>
    <row r="45" customFormat="false" ht="18" hidden="false" customHeight="true" outlineLevel="0" collapsed="false">
      <c r="A45" s="4" t="s">
        <v>91</v>
      </c>
      <c r="B45" s="4"/>
      <c r="C45" s="4"/>
      <c r="D45" s="4"/>
      <c r="E45" s="4"/>
      <c r="F45" s="4"/>
      <c r="G45" s="4"/>
      <c r="H45" s="4"/>
      <c r="I45" s="4"/>
      <c r="J45" s="4"/>
      <c r="K45" s="4"/>
      <c r="L45" s="4"/>
      <c r="M45" s="4"/>
    </row>
    <row r="46" customFormat="false" ht="7.5" hidden="false" customHeight="true" outlineLevel="0" collapsed="false"/>
    <row r="47" customFormat="false" ht="16.5" hidden="false" customHeight="true" outlineLevel="0" collapsed="false">
      <c r="B47" s="40" t="s">
        <v>92</v>
      </c>
      <c r="C47" s="40"/>
      <c r="D47" s="40"/>
      <c r="E47" s="40"/>
      <c r="F47" s="40"/>
      <c r="G47" s="41" t="n">
        <v>0</v>
      </c>
    </row>
    <row r="48" customFormat="false" ht="9.75" hidden="false" customHeight="true" outlineLevel="0" collapsed="false"/>
    <row r="49" customFormat="false" ht="15" hidden="false" customHeight="true" outlineLevel="0" collapsed="false">
      <c r="B49" s="42" t="s">
        <v>93</v>
      </c>
      <c r="C49" s="42"/>
      <c r="D49" s="42"/>
      <c r="E49" s="42"/>
      <c r="F49" s="42"/>
      <c r="G49" s="26" t="s">
        <v>94</v>
      </c>
    </row>
    <row r="50" customFormat="false" ht="15.75" hidden="false" customHeight="true" outlineLevel="0" collapsed="false">
      <c r="B50" s="43" t="s">
        <v>95</v>
      </c>
      <c r="C50" s="43"/>
      <c r="D50" s="43"/>
      <c r="E50" s="43"/>
      <c r="F50" s="43"/>
      <c r="G50" s="31" t="n">
        <v>0.15</v>
      </c>
    </row>
    <row r="51" customFormat="false" ht="15.75" hidden="false" customHeight="true" outlineLevel="0" collapsed="false">
      <c r="B51" s="43" t="s">
        <v>96</v>
      </c>
      <c r="C51" s="43"/>
      <c r="D51" s="43"/>
      <c r="E51" s="43"/>
      <c r="F51" s="43"/>
      <c r="G51" s="31" t="n">
        <v>0.2</v>
      </c>
    </row>
    <row r="52" customFormat="false" ht="15.75" hidden="false" customHeight="true" outlineLevel="0" collapsed="false">
      <c r="B52" s="43" t="s">
        <v>97</v>
      </c>
      <c r="C52" s="43"/>
      <c r="D52" s="43"/>
      <c r="E52" s="43"/>
      <c r="F52" s="43"/>
      <c r="G52" s="31" t="n">
        <v>0.1</v>
      </c>
    </row>
    <row r="53" customFormat="false" ht="15.75" hidden="false" customHeight="true" outlineLevel="0" collapsed="false">
      <c r="B53" s="43" t="s">
        <v>98</v>
      </c>
      <c r="C53" s="43"/>
      <c r="D53" s="43"/>
      <c r="E53" s="43"/>
      <c r="F53" s="43"/>
      <c r="G53" s="31" t="n">
        <v>0.08</v>
      </c>
    </row>
    <row r="54" customFormat="false" ht="12" hidden="false" customHeight="true" outlineLevel="0" collapsed="false"/>
    <row r="55" customFormat="false" ht="18" hidden="false" customHeight="true" outlineLevel="0" collapsed="false">
      <c r="A55" s="4" t="s">
        <v>99</v>
      </c>
      <c r="B55" s="4"/>
      <c r="C55" s="4"/>
      <c r="D55" s="4"/>
      <c r="E55" s="4"/>
      <c r="F55" s="4"/>
      <c r="G55" s="4"/>
      <c r="H55" s="4"/>
      <c r="I55" s="4"/>
      <c r="J55" s="4"/>
      <c r="K55" s="4"/>
      <c r="L55" s="4"/>
      <c r="M55" s="4"/>
    </row>
    <row r="56" customFormat="false" ht="27.75" hidden="false" customHeight="true" outlineLevel="0" collapsed="false">
      <c r="B56" s="26" t="s">
        <v>100</v>
      </c>
      <c r="C56" s="26" t="s">
        <v>101</v>
      </c>
      <c r="D56" s="26" t="s">
        <v>94</v>
      </c>
      <c r="E56" s="26" t="s">
        <v>102</v>
      </c>
      <c r="F56" s="26" t="s">
        <v>103</v>
      </c>
      <c r="G56" s="26" t="s">
        <v>104</v>
      </c>
    </row>
    <row r="57" customFormat="false" ht="15.75" hidden="false" customHeight="true" outlineLevel="0" collapsed="false">
      <c r="B57" s="44" t="s">
        <v>105</v>
      </c>
      <c r="C57" s="32" t="n">
        <f aca="false">IF(ISNUMBER(G19),G19,0)</f>
        <v>0</v>
      </c>
      <c r="D57" s="45" t="n">
        <f aca="false">G50</f>
        <v>0.15</v>
      </c>
      <c r="E57" s="32" t="n">
        <f aca="false">C57*D57</f>
        <v>0</v>
      </c>
      <c r="F57" s="32" t="n">
        <f aca="false">C57+E57</f>
        <v>0</v>
      </c>
      <c r="G57" s="45" t="str">
        <f aca="false">IF(SUM(F57:F60)=0,"-",F57/SUM(F57:F60))</f>
        <v>-</v>
      </c>
    </row>
    <row r="58" customFormat="false" ht="15.75" hidden="false" customHeight="true" outlineLevel="0" collapsed="false">
      <c r="B58" s="44" t="s">
        <v>106</v>
      </c>
      <c r="C58" s="32" t="n">
        <f aca="false">IF(ISNUMBER(G31),G31,0)</f>
        <v>0</v>
      </c>
      <c r="D58" s="45" t="n">
        <f aca="false">G51</f>
        <v>0.2</v>
      </c>
      <c r="E58" s="32" t="n">
        <f aca="false">C58*D58</f>
        <v>0</v>
      </c>
      <c r="F58" s="32" t="n">
        <f aca="false">C58+E58</f>
        <v>0</v>
      </c>
      <c r="G58" s="45" t="str">
        <f aca="false">IF(SUM(F57:F60)=0,"-",F58/SUM(F57:F60))</f>
        <v>-</v>
      </c>
    </row>
    <row r="59" customFormat="false" ht="15.75" hidden="false" customHeight="true" outlineLevel="0" collapsed="false">
      <c r="B59" s="44" t="s">
        <v>107</v>
      </c>
      <c r="C59" s="32" t="n">
        <f aca="false">IF(ISNUMBER(G43),G43,0)</f>
        <v>0</v>
      </c>
      <c r="D59" s="45" t="n">
        <f aca="false">G52</f>
        <v>0.1</v>
      </c>
      <c r="E59" s="32" t="n">
        <f aca="false">C59*D59</f>
        <v>0</v>
      </c>
      <c r="F59" s="32" t="n">
        <f aca="false">C59+E59</f>
        <v>0</v>
      </c>
      <c r="G59" s="45" t="str">
        <f aca="false">IF(SUM(F57:F60)=0,"-",F59/SUM(F57:F60))</f>
        <v>-</v>
      </c>
    </row>
    <row r="60" customFormat="false" ht="15.75" hidden="false" customHeight="true" outlineLevel="0" collapsed="false">
      <c r="B60" s="44" t="s">
        <v>108</v>
      </c>
      <c r="C60" s="32" t="n">
        <f aca="false">IF(ISNUMBER(G47),G47,0)</f>
        <v>0</v>
      </c>
      <c r="D60" s="45" t="n">
        <f aca="false">G53</f>
        <v>0.08</v>
      </c>
      <c r="E60" s="32" t="n">
        <f aca="false">C60*D60</f>
        <v>0</v>
      </c>
      <c r="F60" s="32" t="n">
        <f aca="false">C60+E60</f>
        <v>0</v>
      </c>
      <c r="G60" s="45" t="str">
        <f aca="false">IF(SUM(F57:F60)=0,"-",F60/SUM(F57:F60))</f>
        <v>-</v>
      </c>
    </row>
    <row r="61" customFormat="false" ht="6" hidden="false" customHeight="true" outlineLevel="0" collapsed="false"/>
    <row r="62" customFormat="false" ht="18" hidden="false" customHeight="true" outlineLevel="0" collapsed="false">
      <c r="B62" s="46" t="s">
        <v>109</v>
      </c>
      <c r="C62" s="47" t="n">
        <f aca="false">SUM(C57:C60)</f>
        <v>0</v>
      </c>
      <c r="D62" s="48" t="str">
        <f aca="false">IF(C62=0,"-",E62/C62)</f>
        <v>-</v>
      </c>
      <c r="E62" s="47" t="n">
        <f aca="false">SUM(E57:E60)</f>
        <v>0</v>
      </c>
      <c r="F62" s="47" t="n">
        <f aca="false">SUM(F57:F60)</f>
        <v>0</v>
      </c>
      <c r="G62" s="48" t="s">
        <v>110</v>
      </c>
    </row>
    <row r="63" customFormat="false" ht="9.75" hidden="false" customHeight="true" outlineLevel="0" collapsed="false"/>
    <row r="64" customFormat="false" ht="18" hidden="false" customHeight="true" outlineLevel="0" collapsed="false">
      <c r="B64" s="4" t="s">
        <v>111</v>
      </c>
      <c r="C64" s="4"/>
      <c r="D64" s="4"/>
      <c r="E64" s="4"/>
      <c r="F64" s="4"/>
      <c r="G64" s="4"/>
    </row>
    <row r="65" customFormat="false" ht="16.5" hidden="false" customHeight="true" outlineLevel="0" collapsed="false">
      <c r="B65" s="40" t="s">
        <v>112</v>
      </c>
      <c r="C65" s="40"/>
      <c r="D65" s="40"/>
      <c r="E65" s="40"/>
      <c r="F65" s="40"/>
      <c r="G65" s="49" t="n">
        <f aca="false">C62</f>
        <v>0</v>
      </c>
    </row>
    <row r="66" customFormat="false" ht="16.5" hidden="false" customHeight="true" outlineLevel="0" collapsed="false">
      <c r="B66" s="40" t="s">
        <v>113</v>
      </c>
      <c r="C66" s="40"/>
      <c r="D66" s="40"/>
      <c r="E66" s="40"/>
      <c r="F66" s="40"/>
      <c r="G66" s="49" t="n">
        <f aca="false">F62</f>
        <v>0</v>
      </c>
    </row>
    <row r="67" customFormat="false" ht="16.5" hidden="false" customHeight="true" outlineLevel="0" collapsed="false">
      <c r="B67" s="40" t="s">
        <v>114</v>
      </c>
      <c r="C67" s="40"/>
      <c r="D67" s="40"/>
      <c r="E67" s="40"/>
      <c r="F67" s="40"/>
      <c r="G67" s="49" t="n">
        <f aca="false">F62-C62</f>
        <v>0</v>
      </c>
    </row>
    <row r="68" customFormat="false" ht="16.5" hidden="false" customHeight="true" outlineLevel="0" collapsed="false">
      <c r="B68" s="40" t="s">
        <v>115</v>
      </c>
      <c r="C68" s="40"/>
      <c r="D68" s="40"/>
      <c r="E68" s="40"/>
      <c r="F68" s="40"/>
      <c r="G68" s="50" t="str">
        <f aca="false">IF(F62=0,"-",(F62-C62)/F62)</f>
        <v>-</v>
      </c>
    </row>
    <row r="69" customFormat="false" ht="16.5" hidden="false" customHeight="true" outlineLevel="0" collapsed="false">
      <c r="B69" s="40" t="s">
        <v>116</v>
      </c>
      <c r="C69" s="40"/>
      <c r="D69" s="40"/>
      <c r="E69" s="40"/>
      <c r="F69" s="40"/>
      <c r="G69" s="49" t="str">
        <f aca="false">IF(OR(E5="",E5=0),"-",C62/E5)</f>
        <v>-</v>
      </c>
    </row>
    <row r="70" customFormat="false" ht="16.5" hidden="false" customHeight="true" outlineLevel="0" collapsed="false">
      <c r="B70" s="40" t="s">
        <v>117</v>
      </c>
      <c r="C70" s="40"/>
      <c r="D70" s="40"/>
      <c r="E70" s="40"/>
      <c r="F70" s="40"/>
      <c r="G70" s="49" t="str">
        <f aca="false">IF(OR(E5="",E5=0),"-",F62/E5)</f>
        <v>-</v>
      </c>
    </row>
    <row r="71" customFormat="false" ht="9.75" hidden="false" customHeight="true" outlineLevel="0" collapsed="false"/>
    <row r="72" customFormat="false" ht="18" hidden="false" customHeight="true" outlineLevel="0" collapsed="false">
      <c r="B72" s="4" t="s">
        <v>118</v>
      </c>
      <c r="C72" s="4"/>
      <c r="D72" s="4"/>
      <c r="E72" s="4"/>
      <c r="F72" s="4"/>
      <c r="G72" s="4"/>
    </row>
    <row r="73" customFormat="false" ht="13.5" hidden="false" customHeight="true" outlineLevel="0" collapsed="false">
      <c r="B73" s="51" t="s">
        <v>119</v>
      </c>
      <c r="C73" s="51"/>
      <c r="D73" s="51"/>
      <c r="E73" s="51"/>
      <c r="F73" s="51"/>
      <c r="G73" s="51"/>
    </row>
    <row r="74" customFormat="false" ht="13.5" hidden="false" customHeight="true" outlineLevel="0" collapsed="false">
      <c r="B74" s="52" t="s">
        <v>120</v>
      </c>
      <c r="C74" s="52"/>
      <c r="D74" s="52"/>
      <c r="E74" s="52"/>
      <c r="F74" s="52"/>
      <c r="G74" s="52"/>
    </row>
    <row r="75" customFormat="false" ht="13.5" hidden="false" customHeight="true" outlineLevel="0" collapsed="false">
      <c r="B75" s="53" t="s">
        <v>121</v>
      </c>
      <c r="C75" s="53"/>
      <c r="D75" s="53"/>
      <c r="E75" s="53"/>
      <c r="F75" s="53"/>
      <c r="G75" s="53"/>
    </row>
  </sheetData>
  <sheetProtection sheet="true" password="8e98"/>
  <mergeCells count="31">
    <mergeCell ref="A1:J1"/>
    <mergeCell ref="K1:M1"/>
    <mergeCell ref="A3:M3"/>
    <mergeCell ref="A7:G7"/>
    <mergeCell ref="I7:L7"/>
    <mergeCell ref="B19:F19"/>
    <mergeCell ref="A21:G21"/>
    <mergeCell ref="I21:L21"/>
    <mergeCell ref="B31:F31"/>
    <mergeCell ref="A33:G33"/>
    <mergeCell ref="I33:L33"/>
    <mergeCell ref="B43:F43"/>
    <mergeCell ref="A45:M45"/>
    <mergeCell ref="B47:F47"/>
    <mergeCell ref="B49:F49"/>
    <mergeCell ref="B50:F50"/>
    <mergeCell ref="B51:F51"/>
    <mergeCell ref="B52:F52"/>
    <mergeCell ref="B53:F53"/>
    <mergeCell ref="A55:M55"/>
    <mergeCell ref="B64:G64"/>
    <mergeCell ref="B65:F65"/>
    <mergeCell ref="B66:F66"/>
    <mergeCell ref="B67:F67"/>
    <mergeCell ref="B68:F68"/>
    <mergeCell ref="B69:F69"/>
    <mergeCell ref="B70:F70"/>
    <mergeCell ref="B72:G72"/>
    <mergeCell ref="B73:G73"/>
    <mergeCell ref="B74:G74"/>
    <mergeCell ref="B75:G75"/>
  </mergeCells>
  <dataValidations count="3">
    <dataValidation allowBlank="true" errorStyle="stop" operator="between" showDropDown="false" showErrorMessage="false" showInputMessage="false" sqref="B9:B18" type="list">
      <formula1>'Rate Table'!$B$24:$B$31</formula1>
      <formula2>0</formula2>
    </dataValidation>
    <dataValidation allowBlank="true" errorStyle="stop" operator="between" showDropDown="false" showErrorMessage="false" showInputMessage="false" sqref="B23:B30" type="list">
      <formula1>'Rate Table'!$B$5:$B$9</formula1>
      <formula2>0</formula2>
    </dataValidation>
    <dataValidation allowBlank="true" errorStyle="stop" operator="between" showDropDown="false" showErrorMessage="false" showInputMessage="false" sqref="B35:B42" type="list">
      <formula1>'Rate Table'!$B$14:$B$19</formula1>
      <formula2>0</formula2>
    </dataValidation>
  </dataValidations>
  <printOptions headings="false" gridLines="false" gridLinesSet="true" horizontalCentered="false" verticalCentered="false"/>
  <pageMargins left="0.5" right="0.5" top="0.6" bottom="0.6"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28"/>
    <col collapsed="false" customWidth="true" hidden="false" outlineLevel="0" max="4" min="3" style="1" width="16"/>
    <col collapsed="false" customWidth="true" hidden="false" outlineLevel="0" max="5" min="5" style="1" width="22"/>
    <col collapsed="false" customWidth="true" hidden="false" outlineLevel="0" max="6" min="6" style="1" width="2.5"/>
  </cols>
  <sheetData>
    <row r="1" customFormat="false" ht="36" hidden="false" customHeight="true" outlineLevel="0" collapsed="false">
      <c r="A1" s="2" t="s">
        <v>122</v>
      </c>
      <c r="B1" s="2"/>
      <c r="C1" s="2"/>
      <c r="D1" s="2"/>
      <c r="E1" s="3" t="s">
        <v>1</v>
      </c>
      <c r="F1" s="3"/>
    </row>
    <row r="2" customFormat="false" ht="7.5" hidden="false" customHeight="true" outlineLevel="0" collapsed="false"/>
    <row r="3" customFormat="false" ht="18" hidden="false" customHeight="true" outlineLevel="0" collapsed="false">
      <c r="A3" s="4" t="s">
        <v>123</v>
      </c>
      <c r="B3" s="4"/>
      <c r="C3" s="4"/>
      <c r="D3" s="4"/>
      <c r="E3" s="4"/>
      <c r="F3" s="4"/>
    </row>
    <row r="4" customFormat="false" ht="25.5" hidden="false" customHeight="true" outlineLevel="0" collapsed="false">
      <c r="B4" s="26" t="s">
        <v>124</v>
      </c>
      <c r="C4" s="26" t="s">
        <v>125</v>
      </c>
      <c r="D4" s="26" t="s">
        <v>126</v>
      </c>
      <c r="E4" s="26" t="s">
        <v>69</v>
      </c>
    </row>
    <row r="5" customFormat="false" ht="15.75" hidden="false" customHeight="true" outlineLevel="0" collapsed="false">
      <c r="B5" s="44" t="s">
        <v>127</v>
      </c>
      <c r="C5" s="54" t="n">
        <v>18</v>
      </c>
      <c r="D5" s="54" t="n">
        <v>27</v>
      </c>
      <c r="E5" s="44"/>
    </row>
    <row r="6" customFormat="false" ht="15.75" hidden="false" customHeight="true" outlineLevel="0" collapsed="false">
      <c r="B6" s="44" t="s">
        <v>128</v>
      </c>
      <c r="C6" s="54" t="n">
        <v>28</v>
      </c>
      <c r="D6" s="54" t="n">
        <v>42</v>
      </c>
      <c r="E6" s="44" t="s">
        <v>129</v>
      </c>
    </row>
    <row r="7" customFormat="false" ht="15.75" hidden="false" customHeight="true" outlineLevel="0" collapsed="false">
      <c r="B7" s="44" t="s">
        <v>130</v>
      </c>
      <c r="C7" s="54" t="n">
        <v>26</v>
      </c>
      <c r="D7" s="54" t="n">
        <v>39</v>
      </c>
      <c r="E7" s="44"/>
    </row>
    <row r="8" customFormat="false" ht="15.75" hidden="false" customHeight="true" outlineLevel="0" collapsed="false">
      <c r="B8" s="44" t="s">
        <v>131</v>
      </c>
      <c r="C8" s="54" t="n">
        <v>22</v>
      </c>
      <c r="D8" s="54" t="n">
        <v>33</v>
      </c>
      <c r="E8" s="44"/>
    </row>
    <row r="9" customFormat="false" ht="15.75" hidden="false" customHeight="true" outlineLevel="0" collapsed="false">
      <c r="B9" s="44" t="s">
        <v>132</v>
      </c>
      <c r="C9" s="54" t="n">
        <v>24</v>
      </c>
      <c r="D9" s="54" t="n">
        <v>36</v>
      </c>
      <c r="E9" s="44"/>
    </row>
    <row r="11" customFormat="false" ht="9.75" hidden="false" customHeight="true" outlineLevel="0" collapsed="false"/>
    <row r="12" customFormat="false" ht="18" hidden="false" customHeight="true" outlineLevel="0" collapsed="false">
      <c r="A12" s="4" t="s">
        <v>133</v>
      </c>
      <c r="B12" s="4"/>
      <c r="C12" s="4"/>
      <c r="D12" s="4"/>
      <c r="E12" s="4"/>
      <c r="F12" s="4"/>
    </row>
    <row r="13" customFormat="false" ht="25.5" hidden="false" customHeight="true" outlineLevel="0" collapsed="false">
      <c r="B13" s="26" t="s">
        <v>87</v>
      </c>
      <c r="C13" s="26" t="s">
        <v>134</v>
      </c>
      <c r="D13" s="26" t="s">
        <v>135</v>
      </c>
      <c r="E13" s="26" t="s">
        <v>69</v>
      </c>
    </row>
    <row r="14" customFormat="false" ht="15.75" hidden="false" customHeight="true" outlineLevel="0" collapsed="false">
      <c r="B14" s="44" t="s">
        <v>136</v>
      </c>
      <c r="C14" s="54" t="n">
        <v>85</v>
      </c>
      <c r="D14" s="22" t="n">
        <v>20</v>
      </c>
      <c r="E14" s="44" t="s">
        <v>137</v>
      </c>
    </row>
    <row r="15" customFormat="false" ht="15.75" hidden="false" customHeight="true" outlineLevel="0" collapsed="false">
      <c r="B15" s="44" t="s">
        <v>138</v>
      </c>
      <c r="C15" s="54" t="n">
        <v>60</v>
      </c>
      <c r="D15" s="22" t="n">
        <v>18</v>
      </c>
      <c r="E15" s="44" t="s">
        <v>139</v>
      </c>
    </row>
    <row r="16" customFormat="false" ht="15.75" hidden="false" customHeight="true" outlineLevel="0" collapsed="false">
      <c r="B16" s="44" t="s">
        <v>140</v>
      </c>
      <c r="C16" s="54" t="n">
        <v>45</v>
      </c>
      <c r="D16" s="22" t="n">
        <v>20</v>
      </c>
      <c r="E16" s="44"/>
    </row>
    <row r="17" customFormat="false" ht="15.75" hidden="false" customHeight="true" outlineLevel="0" collapsed="false">
      <c r="B17" s="44" t="s">
        <v>141</v>
      </c>
      <c r="C17" s="54" t="n">
        <v>35</v>
      </c>
      <c r="D17" s="22" t="n">
        <v>16</v>
      </c>
      <c r="E17" s="44" t="s">
        <v>142</v>
      </c>
    </row>
    <row r="18" customFormat="false" ht="15.75" hidden="false" customHeight="true" outlineLevel="0" collapsed="false">
      <c r="B18" s="44" t="s">
        <v>143</v>
      </c>
      <c r="C18" s="54" t="n">
        <v>50</v>
      </c>
      <c r="D18" s="22" t="n">
        <v>16</v>
      </c>
      <c r="E18" s="44"/>
    </row>
    <row r="19" customFormat="false" ht="15.75" hidden="false" customHeight="true" outlineLevel="0" collapsed="false">
      <c r="B19" s="44" t="s">
        <v>144</v>
      </c>
      <c r="C19" s="54" t="n">
        <v>25</v>
      </c>
      <c r="D19" s="22" t="n">
        <v>20</v>
      </c>
      <c r="E19" s="44"/>
    </row>
    <row r="21" customFormat="false" ht="9.75" hidden="false" customHeight="true" outlineLevel="0" collapsed="false"/>
    <row r="22" customFormat="false" ht="18" hidden="false" customHeight="true" outlineLevel="0" collapsed="false">
      <c r="A22" s="4" t="s">
        <v>145</v>
      </c>
      <c r="B22" s="4"/>
      <c r="C22" s="4"/>
      <c r="D22" s="4"/>
      <c r="E22" s="4"/>
      <c r="F22" s="4"/>
    </row>
    <row r="23" customFormat="false" ht="25.5" hidden="false" customHeight="true" outlineLevel="0" collapsed="false">
      <c r="B23" s="26" t="s">
        <v>146</v>
      </c>
      <c r="C23" s="26" t="s">
        <v>67</v>
      </c>
      <c r="D23" s="26" t="s">
        <v>68</v>
      </c>
      <c r="E23" s="26" t="s">
        <v>69</v>
      </c>
    </row>
    <row r="24" customFormat="false" ht="15.75" hidden="false" customHeight="true" outlineLevel="0" collapsed="false">
      <c r="B24" s="44" t="s">
        <v>147</v>
      </c>
      <c r="C24" s="54" t="n">
        <v>1.85</v>
      </c>
      <c r="D24" s="21" t="s">
        <v>148</v>
      </c>
      <c r="E24" s="44" t="s">
        <v>149</v>
      </c>
    </row>
    <row r="25" customFormat="false" ht="15.75" hidden="false" customHeight="true" outlineLevel="0" collapsed="false">
      <c r="B25" s="44" t="s">
        <v>150</v>
      </c>
      <c r="C25" s="54" t="n">
        <v>4.2</v>
      </c>
      <c r="D25" s="21" t="s">
        <v>148</v>
      </c>
      <c r="E25" s="44" t="s">
        <v>151</v>
      </c>
    </row>
    <row r="26" customFormat="false" ht="15.75" hidden="false" customHeight="true" outlineLevel="0" collapsed="false">
      <c r="B26" s="44" t="s">
        <v>152</v>
      </c>
      <c r="C26" s="54" t="n">
        <v>3.1</v>
      </c>
      <c r="D26" s="21" t="s">
        <v>153</v>
      </c>
      <c r="E26" s="44" t="s">
        <v>154</v>
      </c>
    </row>
    <row r="27" customFormat="false" ht="15.75" hidden="false" customHeight="true" outlineLevel="0" collapsed="false">
      <c r="B27" s="44" t="s">
        <v>155</v>
      </c>
      <c r="C27" s="54" t="n">
        <v>0.15</v>
      </c>
      <c r="D27" s="21" t="s">
        <v>156</v>
      </c>
      <c r="E27" s="44" t="s">
        <v>157</v>
      </c>
    </row>
    <row r="28" customFormat="false" ht="15.75" hidden="false" customHeight="true" outlineLevel="0" collapsed="false">
      <c r="B28" s="44" t="s">
        <v>158</v>
      </c>
      <c r="C28" s="54" t="n">
        <v>0.5</v>
      </c>
      <c r="D28" s="21" t="s">
        <v>159</v>
      </c>
      <c r="E28" s="44" t="s">
        <v>160</v>
      </c>
    </row>
    <row r="29" customFormat="false" ht="15.75" hidden="false" customHeight="true" outlineLevel="0" collapsed="false">
      <c r="B29" s="44" t="s">
        <v>161</v>
      </c>
      <c r="C29" s="54" t="n">
        <v>1.2</v>
      </c>
      <c r="D29" s="21" t="s">
        <v>148</v>
      </c>
      <c r="E29" s="44" t="s">
        <v>162</v>
      </c>
    </row>
    <row r="30" customFormat="false" ht="15.75" hidden="false" customHeight="true" outlineLevel="0" collapsed="false">
      <c r="B30" s="44" t="s">
        <v>163</v>
      </c>
      <c r="C30" s="54" t="n">
        <v>2.8</v>
      </c>
      <c r="D30" s="21" t="s">
        <v>153</v>
      </c>
      <c r="E30" s="44" t="s">
        <v>164</v>
      </c>
    </row>
    <row r="31" customFormat="false" ht="15.75" hidden="false" customHeight="true" outlineLevel="0" collapsed="false">
      <c r="B31" s="44" t="s">
        <v>165</v>
      </c>
      <c r="C31" s="54" t="n">
        <v>1</v>
      </c>
      <c r="D31" s="21" t="s">
        <v>156</v>
      </c>
      <c r="E31" s="44" t="s">
        <v>166</v>
      </c>
    </row>
    <row r="32" customFormat="false" ht="9.75" hidden="false" customHeight="true" outlineLevel="0" collapsed="false"/>
    <row r="33" customFormat="false" ht="15" hidden="false" customHeight="true" outlineLevel="0" collapsed="false">
      <c r="B33" s="55" t="s">
        <v>167</v>
      </c>
      <c r="C33" s="55"/>
      <c r="D33" s="55"/>
      <c r="E33" s="55"/>
    </row>
  </sheetData>
  <sheetProtection sheet="true" password="8e98"/>
  <mergeCells count="6">
    <mergeCell ref="A1:D1"/>
    <mergeCell ref="E1:F1"/>
    <mergeCell ref="A3:F3"/>
    <mergeCell ref="A12:F12"/>
    <mergeCell ref="A22:F22"/>
    <mergeCell ref="B33: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2026-03-24T19:25:32Z</dcterms:created>
  <dc:creator>openpyxl</dc:creator>
  <dc:description/>
  <dc:language>en-US</dc:language>
  <cp:lastModifiedBy/>
  <dcterms:modified xsi:type="dcterms:W3CDTF">2026-03-30T11:17:31Z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