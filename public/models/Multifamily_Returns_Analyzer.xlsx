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5e2a0c6f7417474/Desktop/Upwork/03.20.2026/"/>
    </mc:Choice>
  </mc:AlternateContent>
  <xr:revisionPtr revIDLastSave="11" documentId="8_{370A74CF-0352-43AA-B558-30F16AE8249A}" xr6:coauthVersionLast="47" xr6:coauthVersionMax="47" xr10:uidLastSave="{2324C1B8-8544-4F2A-875F-71C7583C69C7}"/>
  <bookViews>
    <workbookView xWindow="-110" yWindow="-110" windowWidth="25820" windowHeight="15500" tabRatio="500" firstSheet="2" activeTab="5" xr2:uid="{00000000-000D-0000-FFFF-FFFF00000000}"/>
  </bookViews>
  <sheets>
    <sheet name="📊 Dashboard" sheetId="1" r:id="rId1"/>
    <sheet name="🏢 Acquisition" sheetId="2" r:id="rId2"/>
    <sheet name="📈 Operating History" sheetId="3" r:id="rId3"/>
    <sheet name="🏦 Bank Reconciliation" sheetId="4" r:id="rId4"/>
    <sheet name="💰 Return Analysis" sheetId="5" r:id="rId5"/>
    <sheet name="📋 Instruction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6" i="5" l="1"/>
  <c r="C35" i="5"/>
  <c r="C33" i="5"/>
  <c r="C28" i="5"/>
  <c r="C27" i="5"/>
  <c r="C8" i="5"/>
  <c r="C7" i="5"/>
  <c r="C10" i="5" s="1"/>
  <c r="C47" i="5" s="1"/>
  <c r="G20" i="4"/>
  <c r="D24" i="4" s="1"/>
  <c r="E20" i="4"/>
  <c r="E25" i="4" s="1"/>
  <c r="D20" i="4"/>
  <c r="D25" i="4" s="1"/>
  <c r="F25" i="4" s="1"/>
  <c r="G25" i="4" s="1"/>
  <c r="F19" i="4"/>
  <c r="H19" i="4" s="1"/>
  <c r="H18" i="4"/>
  <c r="F18" i="4"/>
  <c r="F17" i="4"/>
  <c r="H17" i="4" s="1"/>
  <c r="F16" i="4"/>
  <c r="H16" i="4" s="1"/>
  <c r="F15" i="4"/>
  <c r="H15" i="4" s="1"/>
  <c r="F14" i="4"/>
  <c r="H14" i="4" s="1"/>
  <c r="F13" i="4"/>
  <c r="H13" i="4" s="1"/>
  <c r="H12" i="4"/>
  <c r="F12" i="4"/>
  <c r="F11" i="4"/>
  <c r="H11" i="4" s="1"/>
  <c r="F10" i="4"/>
  <c r="H10" i="4" s="1"/>
  <c r="F9" i="4"/>
  <c r="H9" i="4" s="1"/>
  <c r="F8" i="4"/>
  <c r="F20" i="4" s="1"/>
  <c r="E24" i="4" s="1"/>
  <c r="G38" i="3"/>
  <c r="F38" i="3"/>
  <c r="H37" i="3"/>
  <c r="H36" i="3"/>
  <c r="H35" i="3"/>
  <c r="C31" i="3"/>
  <c r="C16" i="5" s="1"/>
  <c r="D16" i="1" s="1"/>
  <c r="G30" i="3"/>
  <c r="F30" i="3"/>
  <c r="E30" i="3"/>
  <c r="D30" i="3"/>
  <c r="C30" i="3"/>
  <c r="C23" i="1" s="1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30" i="3" s="1"/>
  <c r="H38" i="3" s="1"/>
  <c r="H15" i="3"/>
  <c r="G15" i="3"/>
  <c r="G22" i="1" s="1"/>
  <c r="F15" i="3"/>
  <c r="C34" i="5" s="1"/>
  <c r="E15" i="3"/>
  <c r="E38" i="3" s="1"/>
  <c r="D15" i="3"/>
  <c r="D22" i="1" s="1"/>
  <c r="C15" i="3"/>
  <c r="C38" i="3" s="1"/>
  <c r="H14" i="3"/>
  <c r="H13" i="3"/>
  <c r="H12" i="3"/>
  <c r="H11" i="3"/>
  <c r="H9" i="3"/>
  <c r="H8" i="3"/>
  <c r="H7" i="3"/>
  <c r="H6" i="3"/>
  <c r="C37" i="2"/>
  <c r="F32" i="3" s="1"/>
  <c r="F25" i="1" s="1"/>
  <c r="C34" i="2"/>
  <c r="C29" i="2"/>
  <c r="C39" i="2" s="1"/>
  <c r="C9" i="2"/>
  <c r="C10" i="2" s="1"/>
  <c r="C37" i="1"/>
  <c r="C33" i="1"/>
  <c r="C32" i="1"/>
  <c r="G23" i="1"/>
  <c r="F23" i="1"/>
  <c r="E23" i="1"/>
  <c r="D23" i="1"/>
  <c r="C22" i="1"/>
  <c r="F6" i="1"/>
  <c r="B6" i="1"/>
  <c r="C41" i="5" l="1"/>
  <c r="C11" i="5"/>
  <c r="C40" i="2"/>
  <c r="D6" i="1"/>
  <c r="F24" i="4"/>
  <c r="G24" i="4" s="1"/>
  <c r="H31" i="3"/>
  <c r="F31" i="3"/>
  <c r="G31" i="3"/>
  <c r="C24" i="1"/>
  <c r="C32" i="3"/>
  <c r="G32" i="3"/>
  <c r="G25" i="1" s="1"/>
  <c r="C38" i="2"/>
  <c r="C19" i="5" s="1"/>
  <c r="F16" i="1" s="1"/>
  <c r="F22" i="1"/>
  <c r="D31" i="3"/>
  <c r="E31" i="3"/>
  <c r="E22" i="1"/>
  <c r="D38" i="3"/>
  <c r="H8" i="4"/>
  <c r="H20" i="4" s="1"/>
  <c r="D32" i="3"/>
  <c r="D25" i="1" s="1"/>
  <c r="E32" i="3"/>
  <c r="E25" i="1" s="1"/>
  <c r="C33" i="3"/>
  <c r="F26" i="4" l="1"/>
  <c r="G26" i="4" s="1"/>
  <c r="E26" i="4"/>
  <c r="G33" i="3"/>
  <c r="G24" i="1"/>
  <c r="C26" i="1"/>
  <c r="C27" i="1"/>
  <c r="C42" i="5"/>
  <c r="C21" i="5"/>
  <c r="B16" i="1"/>
  <c r="F24" i="1"/>
  <c r="C17" i="5"/>
  <c r="C18" i="5"/>
  <c r="F33" i="3"/>
  <c r="D24" i="1"/>
  <c r="D33" i="3"/>
  <c r="H32" i="3"/>
  <c r="H33" i="3" s="1"/>
  <c r="C25" i="1"/>
  <c r="E33" i="3"/>
  <c r="E24" i="1"/>
  <c r="C26" i="5" l="1"/>
  <c r="C29" i="5" s="1"/>
  <c r="B11" i="1"/>
  <c r="E27" i="1"/>
  <c r="E26" i="1"/>
  <c r="C44" i="5"/>
  <c r="C23" i="5"/>
  <c r="C22" i="5"/>
  <c r="D26" i="1"/>
  <c r="D27" i="1"/>
  <c r="C43" i="5"/>
  <c r="C24" i="5"/>
  <c r="F27" i="1"/>
  <c r="C45" i="5"/>
  <c r="F26" i="1"/>
  <c r="G27" i="1"/>
  <c r="C46" i="5"/>
  <c r="G26" i="1"/>
  <c r="C49" i="5" l="1"/>
  <c r="C34" i="1"/>
  <c r="C30" i="5"/>
  <c r="C31" i="5"/>
  <c r="C36" i="1" s="1"/>
  <c r="C35" i="1" l="1"/>
  <c r="D11" i="1"/>
  <c r="C38" i="1"/>
  <c r="F11" i="1"/>
</calcChain>
</file>

<file path=xl/sharedStrings.xml><?xml version="1.0" encoding="utf-8"?>
<sst xmlns="http://schemas.openxmlformats.org/spreadsheetml/2006/main" count="299" uniqueCount="282">
  <si>
    <t>📊  14-UNIT MULTIFAMILY — RETURN SUMMARY</t>
  </si>
  <si>
    <t>1247 Maple Grove Drive, Columbus OH  |  Acquired March 2021  |  As of March 2025</t>
  </si>
  <si>
    <t>PURCHASE PRICE</t>
  </si>
  <si>
    <t>EQUITY INVESTED</t>
  </si>
  <si>
    <t>CURRENT EST. VALUE</t>
  </si>
  <si>
    <t>TOTAL CASH FLOW (CUMUL.)</t>
  </si>
  <si>
    <t>EQUITY MULTIPLE</t>
  </si>
  <si>
    <t>LEVERAGED IRR</t>
  </si>
  <si>
    <t>2024 NOI</t>
  </si>
  <si>
    <t>CURRENT CAP RATE</t>
  </si>
  <si>
    <t>2024 DSCR</t>
  </si>
  <si>
    <t xml:space="preserve">  ANNUAL PERFORMANCE SUMMARY</t>
  </si>
  <si>
    <t>Metric</t>
  </si>
  <si>
    <t>2021</t>
  </si>
  <si>
    <t>2022</t>
  </si>
  <si>
    <t>2023</t>
  </si>
  <si>
    <t>2024</t>
  </si>
  <si>
    <t>2025 YTD</t>
  </si>
  <si>
    <t>Effective Gross Income (EGI)</t>
  </si>
  <si>
    <t>Total Operating Expenses</t>
  </si>
  <si>
    <t>Net Operating Income (NOI)</t>
  </si>
  <si>
    <t>Annual Debt Service</t>
  </si>
  <si>
    <t>Cash Flow Before Tax (CFBT)</t>
  </si>
  <si>
    <t>Cash-on-Cash Return</t>
  </si>
  <si>
    <t xml:space="preserve">  WEALTH CREATION SUMMARY</t>
  </si>
  <si>
    <t>Component</t>
  </si>
  <si>
    <t>Amount</t>
  </si>
  <si>
    <t>Notes</t>
  </si>
  <si>
    <t>Cumulative Cash Flow Distributions</t>
  </si>
  <si>
    <t>Unrealized Appreciation (Market)</t>
  </si>
  <si>
    <t>Equity Buildup (Loan Paydown)</t>
  </si>
  <si>
    <t>TOTAL WEALTH CREATED</t>
  </si>
  <si>
    <t>Equity Multiple</t>
  </si>
  <si>
    <t>Annualized Return</t>
  </si>
  <si>
    <t>Leveraged IRR</t>
  </si>
  <si>
    <t>🏢  ACQUISITION &amp; CLOSING STATEMENT</t>
  </si>
  <si>
    <t>Source: HUD-1 / ALTA Settlement Statement  |  Enter exact figures from closing documents</t>
  </si>
  <si>
    <t xml:space="preserve">  PROPERTY INFORMATION</t>
  </si>
  <si>
    <t>Property Address</t>
  </si>
  <si>
    <t>1247 Maple Grove Drive, Columbus OH 43215</t>
  </si>
  <si>
    <t>Property Type</t>
  </si>
  <si>
    <t>Multifamily — 14 Units</t>
  </si>
  <si>
    <t>Acquisition Date</t>
  </si>
  <si>
    <t>2021-03-15</t>
  </si>
  <si>
    <t>Analysis Date (Today)</t>
  </si>
  <si>
    <t>2025-03-01</t>
  </si>
  <si>
    <t>Holding Period (months)</t>
  </si>
  <si>
    <t>Holding Period (years)</t>
  </si>
  <si>
    <t>Unit Count</t>
  </si>
  <si>
    <t>Unit Mix</t>
  </si>
  <si>
    <t>8 × 1BR / 6 × 2BR</t>
  </si>
  <si>
    <t xml:space="preserve">  PURCHASE ECONOMICS</t>
  </si>
  <si>
    <t>Item</t>
  </si>
  <si>
    <t>Amount ($)</t>
  </si>
  <si>
    <t>Contract Purchase Price</t>
  </si>
  <si>
    <t>Negotiated price per PSA</t>
  </si>
  <si>
    <t>Earnest Money Deposit</t>
  </si>
  <si>
    <t>Applied at closing</t>
  </si>
  <si>
    <t>Loan Origination Fee</t>
  </si>
  <si>
    <t>0.40% of loan amount</t>
  </si>
  <si>
    <t>Title Insurance</t>
  </si>
  <si>
    <t>Owner + lender policy</t>
  </si>
  <si>
    <t>Attorney / Closing Fees</t>
  </si>
  <si>
    <t>Settlement agent</t>
  </si>
  <si>
    <t>Recording Fees</t>
  </si>
  <si>
    <t>County recorder</t>
  </si>
  <si>
    <t>Property Inspection</t>
  </si>
  <si>
    <t>Pre-closing inspection</t>
  </si>
  <si>
    <t>Environmental Report</t>
  </si>
  <si>
    <t>Phase I ESA</t>
  </si>
  <si>
    <t>Appraisal</t>
  </si>
  <si>
    <t>Required by lender</t>
  </si>
  <si>
    <t>Prorated Property Taxes</t>
  </si>
  <si>
    <t>Seller credit at closing</t>
  </si>
  <si>
    <t>Prorated Rents (Seller Credit)</t>
  </si>
  <si>
    <t>Tenant rents prepaid — credit to buyer</t>
  </si>
  <si>
    <t>Security Deposits Assumed</t>
  </si>
  <si>
    <t>14 units × $600 avg — assumed liability</t>
  </si>
  <si>
    <t>Other Closing Costs</t>
  </si>
  <si>
    <t>Misc. lender fees</t>
  </si>
  <si>
    <t>TOTAL ACQUISITION COST</t>
  </si>
  <si>
    <t xml:space="preserve">  FINANCING STRUCTURE</t>
  </si>
  <si>
    <t>Amount / Rate</t>
  </si>
  <si>
    <t>Original Loan Amount</t>
  </si>
  <si>
    <t>75% LTV conventional</t>
  </si>
  <si>
    <t>Loan-to-Value (LTV)</t>
  </si>
  <si>
    <t>At origination</t>
  </si>
  <si>
    <t>Interest Rate (Fixed)</t>
  </si>
  <si>
    <t>30-yr fixed, conventional</t>
  </si>
  <si>
    <t>Loan Term (months)</t>
  </si>
  <si>
    <t>30-year amortization</t>
  </si>
  <si>
    <t>Monthly Mortgage Payment</t>
  </si>
  <si>
    <t>P&amp;I only</t>
  </si>
  <si>
    <t>Total annual P&amp;I</t>
  </si>
  <si>
    <t>Equity Invested at Close</t>
  </si>
  <si>
    <t>Total cost minus loan</t>
  </si>
  <si>
    <t>Down Payment %</t>
  </si>
  <si>
    <t>Equity / purchase price</t>
  </si>
  <si>
    <t>📈  OPERATING HISTORY — ANNUAL P&amp;L</t>
  </si>
  <si>
    <t>Source: Management Company Annual Statements  |  Blue = inputs from reports  |  Reconciles to bank records</t>
  </si>
  <si>
    <t>Line Item</t>
  </si>
  <si>
    <t>Cumulative Total</t>
  </si>
  <si>
    <t xml:space="preserve">  GROSS POTENTIAL RENT (GPR)</t>
  </si>
  <si>
    <t>Scheduled Rent Income</t>
  </si>
  <si>
    <t>Vacancy Loss</t>
  </si>
  <si>
    <t>Concessions / Lease-Up Loss</t>
  </si>
  <si>
    <t>Bad Debt / Write-offs</t>
  </si>
  <si>
    <t xml:space="preserve">  OTHER INCOME</t>
  </si>
  <si>
    <t>Late Fees</t>
  </si>
  <si>
    <t>Laundry / Vending</t>
  </si>
  <si>
    <t>Pet Fees</t>
  </si>
  <si>
    <t>Parking Fees</t>
  </si>
  <si>
    <t>EFFECTIVE GROSS INCOME (EGI)</t>
  </si>
  <si>
    <t xml:space="preserve">  OPERATING EXPENSES</t>
  </si>
  <si>
    <t>Property Management Fee (8%)</t>
  </si>
  <si>
    <t>Property Taxes</t>
  </si>
  <si>
    <t>Insurance (Hazard + Liability)</t>
  </si>
  <si>
    <t>Water / Sewer</t>
  </si>
  <si>
    <t>Electric (Common Areas)</t>
  </si>
  <si>
    <t>Landscaping / Snow Removal</t>
  </si>
  <si>
    <t>Repairs &amp; Maintenance</t>
  </si>
  <si>
    <t>Capital Improvements</t>
  </si>
  <si>
    <t>Trash Removal</t>
  </si>
  <si>
    <t>Pest Control</t>
  </si>
  <si>
    <t>Accounting / Admin</t>
  </si>
  <si>
    <t>Vacancy Turnover Costs</t>
  </si>
  <si>
    <t>Reserve Contributions</t>
  </si>
  <si>
    <t>TOTAL OPERATING EXPENSES</t>
  </si>
  <si>
    <t>NET OPERATING INCOME (NOI)</t>
  </si>
  <si>
    <t>Annual Debt Service (P&amp;I)</t>
  </si>
  <si>
    <t>CASH FLOW BEFORE TAX (CFBT)</t>
  </si>
  <si>
    <t xml:space="preserve">  OCCUPANCY &amp; OPERATING METRICS</t>
  </si>
  <si>
    <t>Physical Occupancy Rate</t>
  </si>
  <si>
    <t>Economic Occupancy Rate</t>
  </si>
  <si>
    <t>Average Monthly Rent / Unit</t>
  </si>
  <si>
    <t>Operating Expense Ratio (OER)</t>
  </si>
  <si>
    <t>🏦  BANK RECONCILIATION — MANAGEMENT vs. BANK</t>
  </si>
  <si>
    <t>Match management report distributions to bank deposits  |  Variance must = $0.00 for clean books</t>
  </si>
  <si>
    <t xml:space="preserve">  SELECT YEAR FOR RECONCILIATION:</t>
  </si>
  <si>
    <t xml:space="preserve">  2024 MONTHLY RECONCILIATION — ALL 14 UNITS</t>
  </si>
  <si>
    <t>Mo.</t>
  </si>
  <si>
    <t>Month</t>
  </si>
  <si>
    <t>Mgmt Report
Gross Collections</t>
  </si>
  <si>
    <t>Mgmt Fees &amp;
Expenses Paid</t>
  </si>
  <si>
    <t>Net Owner
Distribution (Rpt)</t>
  </si>
  <si>
    <t>Bank Deposit
Actual</t>
  </si>
  <si>
    <t>Variance
(Must = $0)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</si>
  <si>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</si>
  <si>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</si>
  <si>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</si>
  <si>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</si>
  <si>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</si>
  <si>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</si>
  <si>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</si>
  <si>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</si>
  <si>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</si>
  <si>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</si>
  <si>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</si>
  <si>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</si>
  <si>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12</t>
  </si>
  <si>
    <t>ANNUAL TOTAL</t>
  </si>
  <si>
    <t xml:space="preserve">  RECONCILIATION SUMMARY &amp; AUDIT FLAGS</t>
  </si>
  <si>
    <t>Check</t>
  </si>
  <si>
    <t>Description</t>
  </si>
  <si>
    <t>Expected</t>
  </si>
  <si>
    <t>Actual</t>
  </si>
  <si>
    <t>Variance</t>
  </si>
  <si>
    <t>Status</t>
  </si>
  <si>
    <t>1</t>
  </si>
  <si>
    <t>Annual Distribution Match</t>
  </si>
  <si>
    <t>2</t>
  </si>
  <si>
    <t>Mgmt Fee % vs Contract (8%)</t>
  </si>
  <si>
    <t>3</t>
  </si>
  <si>
    <t>Total Variance = $0</t>
  </si>
  <si>
    <t>💰  TOTAL RETURN ANALYSIS</t>
  </si>
  <si>
    <t>Comprehensive return metrics from acquisition date to today  |  Leveraged &amp; Unleveraged</t>
  </si>
  <si>
    <t xml:space="preserve">  CURRENT VALUATION ASSUMPTIONS</t>
  </si>
  <si>
    <t>Estimated Current Market Value</t>
  </si>
  <si>
    <t>Based on comparable sales / broker opinion</t>
  </si>
  <si>
    <t>Estimated Selling Costs</t>
  </si>
  <si>
    <t>6% of sale price (agent + closing)</t>
  </si>
  <si>
    <t>Net Proceeds if Sold Today</t>
  </si>
  <si>
    <t>Before loan payoff</t>
  </si>
  <si>
    <t>Current Loan Balance (approx.)</t>
  </si>
  <si>
    <t>Use loan amortization schedule — enter below</t>
  </si>
  <si>
    <t>Remaining Loan Balance</t>
  </si>
  <si>
    <t>From lender statement / amortization</t>
  </si>
  <si>
    <t>Net Equity if Sold Today</t>
  </si>
  <si>
    <t>Net proceeds minus loan payoff</t>
  </si>
  <si>
    <t>Original Equity Invested</t>
  </si>
  <si>
    <t>From closing</t>
  </si>
  <si>
    <t xml:space="preserve">  KEY RETURN METRICS</t>
  </si>
  <si>
    <t>Value</t>
  </si>
  <si>
    <t>Definition / Notes</t>
  </si>
  <si>
    <t>── INCOME RETURNS ──</t>
  </si>
  <si>
    <t>Going-In Cap Rate (2021 NOI)</t>
  </si>
  <si>
    <t>NOI Year 1 ÷ Purchase Price</t>
  </si>
  <si>
    <t>Current Cap Rate (2024 NOI)</t>
  </si>
  <si>
    <t>2024 NOI ÷ Current Market Value</t>
  </si>
  <si>
    <t>Stabilized NOI (2024)</t>
  </si>
  <si>
    <t>Net Operating Income before debt service</t>
  </si>
  <si>
    <t>Debt Service Coverage (2024)</t>
  </si>
  <si>
    <t>NOI ÷ Annual Debt Service (&gt;1.20x healthy)</t>
  </si>
  <si>
    <t>── CASH-ON-CASH RETURNS ──</t>
  </si>
  <si>
    <t>CoC Return — Year 1 (2021)</t>
  </si>
  <si>
    <t>CFBT ÷ Equity Invested (partial year)</t>
  </si>
  <si>
    <t>CoC Return — Year 2 (2022)</t>
  </si>
  <si>
    <t>CFBT ÷ Equity Invested</t>
  </si>
  <si>
    <t>CoC Return — Year 3 (2023)</t>
  </si>
  <si>
    <t>CoC Return — Year 4 (2024)</t>
  </si>
  <si>
    <t>── TOTAL RETURN METRICS ──</t>
  </si>
  <si>
    <t>Total Cash Flow Received</t>
  </si>
  <si>
    <t>Cumulative CFBT since acquisition</t>
  </si>
  <si>
    <t>Unrealized Appreciation</t>
  </si>
  <si>
    <t>Current value minus purchase price</t>
  </si>
  <si>
    <t>Principal Paydown (Equity Buildup)</t>
  </si>
  <si>
    <t>Original loan minus current balance</t>
  </si>
  <si>
    <t>Total Wealth Created</t>
  </si>
  <si>
    <t>Cash flow + appreciation + equity buildup</t>
  </si>
  <si>
    <t>Equity Multiple (Total)</t>
  </si>
  <si>
    <t>(Equity + total returns) ÷ equity invested</t>
  </si>
  <si>
    <t>Annualized Return (Simple)</t>
  </si>
  <si>
    <t>Total return ÷ equity ÷ years held</t>
  </si>
  <si>
    <t>── GROSS RENT MULTIPLIER ──</t>
  </si>
  <si>
    <t>Going-In GRM</t>
  </si>
  <si>
    <t>Purchase Price ÷ Year 1 Gross Income</t>
  </si>
  <si>
    <t>Current GRM</t>
  </si>
  <si>
    <t>Current Value ÷ 2024 Gross Income</t>
  </si>
  <si>
    <t>Price / Unit (Acquisition)</t>
  </si>
  <si>
    <t>Purchase price per unit</t>
  </si>
  <si>
    <t>Price / Unit (Current Est.)</t>
  </si>
  <si>
    <t>Current value per unit</t>
  </si>
  <si>
    <t xml:space="preserve">  CASH FLOW SCHEDULE FOR IRR CALCULATION</t>
  </si>
  <si>
    <t>Period</t>
  </si>
  <si>
    <t>Cash Flow</t>
  </si>
  <si>
    <t>2021-03-15 (Acquisition)</t>
  </si>
  <si>
    <t>Initial equity outflow</t>
  </si>
  <si>
    <t>2021 (partial year CFBT)</t>
  </si>
  <si>
    <t>9 months operations</t>
  </si>
  <si>
    <t>2022 CFBT</t>
  </si>
  <si>
    <t>Full year</t>
  </si>
  <si>
    <t>2023 CFBT</t>
  </si>
  <si>
    <t>2024 CFBT</t>
  </si>
  <si>
    <t>2025 YTD CFBT</t>
  </si>
  <si>
    <t>3 months</t>
  </si>
  <si>
    <t>Hypothetical Sale Proceeds</t>
  </si>
  <si>
    <t>Net equity if sold at current value</t>
  </si>
  <si>
    <t>LEVERAGED IRR (Hold-to-Today + Hypothetical Sale)</t>
  </si>
  <si>
    <t>📋  ANALYST INSTRUCTIONS &amp; DATA ENTRY GUIDE</t>
  </si>
  <si>
    <t>Complete workflow for matching closing statement, management reports, and bank records to calculated returns</t>
  </si>
  <si>
    <t>HOW TO USE THIS MODEL</t>
  </si>
  <si>
    <t>STEP 1 — Acquisition Tab</t>
  </si>
  <si>
    <t>Enter all figures from your HUD-1/ALTA closing statement. Blue cells only. Verify loan amount, rate, and equity invested.</t>
  </si>
  <si>
    <t>STEP 2 — Operating History</t>
  </si>
  <si>
    <t>Transfer annual totals from management company statements, year by year. Each column = one calendar year.</t>
  </si>
  <si>
    <t>STEP 3 — Bank Reconciliation</t>
  </si>
  <si>
    <t>For each month, enter (a) gross collections per management report, (b) fees/expenses they retained, and (c) the actual bank deposit. Variance should = $0.</t>
  </si>
  <si>
    <t>STEP 4 — Return Analysis</t>
  </si>
  <si>
    <t>Enter current estimated market value and current loan balance. All metrics calculate automatically.</t>
  </si>
  <si>
    <t>STEP 5 — Dashboard</t>
  </si>
  <si>
    <t>Review the complete picture. Share this tab with investors or partners.</t>
  </si>
  <si>
    <t>COLOR CODING</t>
  </si>
  <si>
    <t>Blue text / light blue cell</t>
  </si>
  <si>
    <t>YOUR INPUT — enter data from source documents here</t>
  </si>
  <si>
    <t>Black text / white cell</t>
  </si>
  <si>
    <t>FORMULA — auto-calculated, do not overwrite</t>
  </si>
  <si>
    <t>Green text</t>
  </si>
  <si>
    <t>CROSS-SHEET LINK — pulling from another tab</t>
  </si>
  <si>
    <t>KEY METRICS DEFINED</t>
  </si>
  <si>
    <t>Cap Rate</t>
  </si>
  <si>
    <t>NOI ÷ Property Value. Measures property income yield independent of financing.</t>
  </si>
  <si>
    <t>Cash-on-Cash (CoC)</t>
  </si>
  <si>
    <t>Annual CFBT ÷ Equity Invested. Measures annual cash yield on your equity.</t>
  </si>
  <si>
    <t>DSCR</t>
  </si>
  <si>
    <t>NOI ÷ Annual Debt Service. &gt;1.25x = strong; &lt;1.0x = cash flow negative.</t>
  </si>
  <si>
    <t>Total return ÷ equity invested. 2.0x means you doubled your money.</t>
  </si>
  <si>
    <t>IRR</t>
  </si>
  <si>
    <t>Annualized time-weighted return accounting for timing of all cash flows.</t>
  </si>
  <si>
    <t>GRM</t>
  </si>
  <si>
    <t>Purchase Price ÷ Gross Annual Income. Lower is better (paid less per $ of rent).</t>
  </si>
  <si>
    <t>Bank Rec Variance</t>
  </si>
  <si>
    <t>Management distribution per report minus actual bank deposit. Must = $0.00 for clean books.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</si>
</sst>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_);[Red]&quot;($&quot;#,##0\);\-"/>
    <numFmt numFmtId="165" formatCode="0.00\x"/>
    <numFmt numFmtId="166" formatCode="yyyy\-mm\-dd"/>
    <numFmt numFmtId="167" formatCode="0.0%"/>
    <numFmt numFmtId="168" formatCode="#,##0_);\(#,##0\);\-"/>
  </numFmts>
  <fonts count="22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i/>
      <sz val="10"/>
      <color rgb="FFFFFFFF"/>
      <name val="Calibri"/>
      <charset val="1"/>
    </font>
    <font>
      <b/>
      <sz val="8"/>
      <color rgb="FF1B3A5C"/>
      <name val="Calibri"/>
      <charset val="1"/>
    </font>
    <font>
      <b/>
      <sz val="8"/>
      <color rgb="FF1A6B3C"/>
      <name val="Calibri"/>
      <charset val="1"/>
    </font>
    <font>
      <b/>
      <sz val="8"/>
      <color rgb="FFB8860B"/>
      <name val="Calibri"/>
      <charset val="1"/>
    </font>
    <font>
      <b/>
      <sz val="16"/>
      <color rgb="FF1B3A5C"/>
      <name val="Calibri"/>
      <charset val="1"/>
    </font>
    <font>
      <b/>
      <sz val="16"/>
      <color rgb="FF1A6B3C"/>
      <name val="Calibri"/>
      <charset val="1"/>
    </font>
    <font>
      <b/>
      <sz val="16"/>
      <color rgb="FFB8860B"/>
      <name val="Calibri"/>
      <charset val="1"/>
    </font>
    <font>
      <b/>
      <sz val="8"/>
      <color rgb="FF0A7373"/>
      <name val="Calibri"/>
      <charset val="1"/>
    </font>
    <font>
      <b/>
      <sz val="8"/>
      <color rgb="FFC25E1E"/>
      <name val="Calibri"/>
      <charset val="1"/>
    </font>
    <font>
      <b/>
      <sz val="16"/>
      <color rgb="FF0A7373"/>
      <name val="Calibri"/>
      <charset val="1"/>
    </font>
    <font>
      <b/>
      <sz val="16"/>
      <color rgb="FFC25E1E"/>
      <name val="Calibri"/>
      <charset val="1"/>
    </font>
    <font>
      <b/>
      <sz val="10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8000"/>
      <name val="Calibri"/>
      <charset val="1"/>
    </font>
    <font>
      <sz val="10"/>
      <color rgb="FF000000"/>
      <name val="Calibri"/>
      <charset val="1"/>
    </font>
    <font>
      <sz val="10"/>
      <color rgb="FF0000FF"/>
      <name val="Calibri"/>
      <charset val="1"/>
    </font>
    <font>
      <i/>
      <sz val="9"/>
      <color rgb="FF7A7A7A"/>
      <name val="Calibri"/>
      <charset val="1"/>
    </font>
    <font>
      <sz val="9"/>
      <color rgb="FF7A7A7A"/>
      <name val="Calibri"/>
      <charset val="1"/>
    </font>
    <font>
      <b/>
      <sz val="12"/>
      <color rgb="FFFFFFFF"/>
      <name val="Calibri"/>
      <charset val="1"/>
    </font>
    <font>
      <sz val="10"/>
      <color rgb="FFFFFFFF"/>
      <name val="Calibri"/>
      <charset val="1"/>
    </font>
  </fonts>
  <fills count="19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0A7373"/>
        <bgColor rgb="FF1A6B3C"/>
      </patternFill>
    </fill>
    <fill>
      <patternFill patternType="solid">
        <fgColor rgb="FFEBF3FB"/>
        <bgColor rgb="FFE4F2EB"/>
      </patternFill>
    </fill>
    <fill>
      <patternFill patternType="solid">
        <fgColor rgb="FFE4F2EB"/>
        <bgColor rgb="FFDCF0EF"/>
      </patternFill>
    </fill>
    <fill>
      <patternFill patternType="solid">
        <fgColor rgb="FFFDF5DC"/>
        <bgColor rgb="FFFDEEDE"/>
      </patternFill>
    </fill>
    <fill>
      <patternFill patternType="solid">
        <fgColor rgb="FFDCF0EF"/>
        <bgColor rgb="FFE4F2EB"/>
      </patternFill>
    </fill>
    <fill>
      <patternFill patternType="solid">
        <fgColor rgb="FFFDEEDE"/>
        <bgColor rgb="FFFAEAEA"/>
      </patternFill>
    </fill>
    <fill>
      <patternFill patternType="solid">
        <fgColor rgb="FF1B3A5C"/>
        <bgColor rgb="FF1A3A5C"/>
      </patternFill>
    </fill>
    <fill>
      <patternFill patternType="solid">
        <fgColor rgb="FFFFFFFF"/>
        <bgColor rgb="FFF6F6F6"/>
      </patternFill>
    </fill>
    <fill>
      <patternFill patternType="solid">
        <fgColor rgb="FFF6F6F6"/>
        <bgColor rgb="FFEBF3FB"/>
      </patternFill>
    </fill>
    <fill>
      <patternFill patternType="solid">
        <fgColor rgb="FF1A6B3C"/>
        <bgColor rgb="FF0A7373"/>
      </patternFill>
    </fill>
    <fill>
      <patternFill patternType="solid">
        <fgColor rgb="FF1A3A5C"/>
        <bgColor rgb="FF1B3A5C"/>
      </patternFill>
    </fill>
    <fill>
      <patternFill patternType="solid">
        <fgColor rgb="FF5C1A1A"/>
        <bgColor rgb="FF800000"/>
      </patternFill>
    </fill>
    <fill>
      <patternFill patternType="solid">
        <fgColor rgb="FFFAEAEA"/>
        <bgColor rgb="FFFDEEDE"/>
      </patternFill>
    </fill>
    <fill>
      <patternFill patternType="solid">
        <fgColor rgb="FFA82020"/>
        <bgColor rgb="FF993366"/>
      </patternFill>
    </fill>
    <fill>
      <patternFill patternType="solid">
        <fgColor rgb="FFEBEBEB"/>
        <bgColor rgb="FFE4F2EB"/>
      </patternFill>
    </fill>
    <fill>
      <patternFill patternType="solid">
        <fgColor rgb="FFB8860B"/>
        <bgColor rgb="FFC25E1E"/>
      </patternFill>
    </fill>
  </fills>
  <borders count="8">
    <border>
      <left/>
      <right/>
      <top/>
      <bottom/>
      <diagonal/>
    </border>
    <border>
      <left style="thin">
        <color rgb="FF1B3A5C"/>
      </left>
      <right style="thin">
        <color rgb="FF1B3A5C"/>
      </right>
      <top style="thin">
        <color rgb="FF1B3A5C"/>
      </top>
      <bottom style="thin">
        <color rgb="FF1B3A5C"/>
      </bottom>
      <diagonal/>
    </border>
    <border>
      <left style="thin">
        <color rgb="FF0A7373"/>
      </left>
      <right style="thin">
        <color rgb="FF0A7373"/>
      </right>
      <top style="thin">
        <color rgb="FF0A7373"/>
      </top>
      <bottom style="thin">
        <color rgb="FF0A737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0D1B2A"/>
      </left>
      <right style="thin">
        <color rgb="FF0D1B2A"/>
      </right>
      <top style="thin">
        <color rgb="FF0D1B2A"/>
      </top>
      <bottom style="thin">
        <color rgb="FF0D1B2A"/>
      </bottom>
      <diagonal/>
    </border>
    <border>
      <left style="thin">
        <color rgb="FF0D1B2A"/>
      </left>
      <right/>
      <top style="thin">
        <color rgb="FF0D1B2A"/>
      </top>
      <bottom style="thin">
        <color rgb="FF0D1B2A"/>
      </bottom>
      <diagonal/>
    </border>
    <border>
      <left style="thin">
        <color rgb="FFA82020"/>
      </left>
      <right style="thin">
        <color rgb="FFA82020"/>
      </right>
      <top style="thin">
        <color rgb="FFA82020"/>
      </top>
      <bottom style="thin">
        <color rgb="FFA8202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3" fillId="9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left" vertical="center"/>
    </xf>
    <xf numFmtId="164" fontId="15" fillId="10" borderId="3" xfId="0" applyNumberFormat="1" applyFont="1" applyFill="1" applyBorder="1" applyAlignment="1">
      <alignment horizontal="right" vertical="center"/>
    </xf>
    <xf numFmtId="0" fontId="14" fillId="11" borderId="3" xfId="0" applyFont="1" applyFill="1" applyBorder="1" applyAlignment="1">
      <alignment horizontal="left" vertical="center"/>
    </xf>
    <xf numFmtId="164" fontId="15" fillId="11" borderId="3" xfId="0" applyNumberFormat="1" applyFont="1" applyFill="1" applyBorder="1" applyAlignment="1">
      <alignment horizontal="right" vertical="center"/>
    </xf>
    <xf numFmtId="10" fontId="15" fillId="11" borderId="3" xfId="0" applyNumberFormat="1" applyFont="1" applyFill="1" applyBorder="1" applyAlignment="1">
      <alignment horizontal="right" vertical="center"/>
    </xf>
    <xf numFmtId="0" fontId="16" fillId="10" borderId="3" xfId="0" applyFont="1" applyFill="1" applyBorder="1" applyAlignment="1">
      <alignment horizontal="left" vertical="center"/>
    </xf>
    <xf numFmtId="164" fontId="16" fillId="6" borderId="3" xfId="0" applyNumberFormat="1" applyFont="1" applyFill="1" applyBorder="1" applyAlignment="1">
      <alignment horizontal="right" vertical="center"/>
    </xf>
    <xf numFmtId="0" fontId="16" fillId="11" borderId="3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164" fontId="13" fillId="2" borderId="5" xfId="0" applyNumberFormat="1" applyFont="1" applyFill="1" applyBorder="1" applyAlignment="1">
      <alignment horizontal="right" vertical="center"/>
    </xf>
    <xf numFmtId="165" fontId="16" fillId="6" borderId="3" xfId="0" applyNumberFormat="1" applyFont="1" applyFill="1" applyBorder="1" applyAlignment="1">
      <alignment horizontal="right" vertical="center"/>
    </xf>
    <xf numFmtId="10" fontId="16" fillId="6" borderId="3" xfId="0" applyNumberFormat="1" applyFont="1" applyFill="1" applyBorder="1" applyAlignment="1">
      <alignment horizontal="right" vertical="center"/>
    </xf>
    <xf numFmtId="0" fontId="17" fillId="4" borderId="3" xfId="0" applyFont="1" applyFill="1" applyBorder="1" applyAlignment="1">
      <alignment horizontal="left" vertical="center"/>
    </xf>
    <xf numFmtId="166" fontId="17" fillId="4" borderId="3" xfId="0" applyNumberFormat="1" applyFont="1" applyFill="1" applyBorder="1" applyAlignment="1">
      <alignment horizontal="center" vertical="center"/>
    </xf>
    <xf numFmtId="3" fontId="16" fillId="10" borderId="3" xfId="0" applyNumberFormat="1" applyFont="1" applyFill="1" applyBorder="1" applyAlignment="1">
      <alignment horizontal="right" vertical="center"/>
    </xf>
    <xf numFmtId="2" fontId="16" fillId="10" borderId="3" xfId="0" applyNumberFormat="1" applyFont="1" applyFill="1" applyBorder="1" applyAlignment="1">
      <alignment horizontal="right" vertical="center"/>
    </xf>
    <xf numFmtId="3" fontId="17" fillId="4" borderId="3" xfId="0" applyNumberFormat="1" applyFont="1" applyFill="1" applyBorder="1" applyAlignment="1">
      <alignment horizontal="right" vertical="center"/>
    </xf>
    <xf numFmtId="0" fontId="13" fillId="3" borderId="2" xfId="0" applyFont="1" applyFill="1" applyBorder="1" applyAlignment="1">
      <alignment horizontal="left" vertical="center"/>
    </xf>
    <xf numFmtId="164" fontId="17" fillId="4" borderId="3" xfId="0" applyNumberFormat="1" applyFont="1" applyFill="1" applyBorder="1" applyAlignment="1">
      <alignment horizontal="right" vertical="center"/>
    </xf>
    <xf numFmtId="0" fontId="18" fillId="10" borderId="3" xfId="0" applyFont="1" applyFill="1" applyBorder="1" applyAlignment="1">
      <alignment horizontal="left" vertical="center"/>
    </xf>
    <xf numFmtId="0" fontId="18" fillId="11" borderId="3" xfId="0" applyFont="1" applyFill="1" applyBorder="1" applyAlignment="1">
      <alignment horizontal="left" vertical="center"/>
    </xf>
    <xf numFmtId="0" fontId="0" fillId="2" borderId="5" xfId="0" applyFill="1" applyBorder="1"/>
    <xf numFmtId="167" fontId="16" fillId="10" borderId="3" xfId="0" applyNumberFormat="1" applyFont="1" applyFill="1" applyBorder="1" applyAlignment="1">
      <alignment horizontal="right" vertical="center"/>
    </xf>
    <xf numFmtId="10" fontId="17" fillId="4" borderId="3" xfId="0" applyNumberFormat="1" applyFont="1" applyFill="1" applyBorder="1" applyAlignment="1">
      <alignment horizontal="right" vertical="center"/>
    </xf>
    <xf numFmtId="168" fontId="17" fillId="4" borderId="3" xfId="0" applyNumberFormat="1" applyFont="1" applyFill="1" applyBorder="1" applyAlignment="1">
      <alignment horizontal="right" vertical="center"/>
    </xf>
    <xf numFmtId="164" fontId="16" fillId="10" borderId="3" xfId="0" applyNumberFormat="1" applyFont="1" applyFill="1" applyBorder="1" applyAlignment="1">
      <alignment horizontal="right" vertical="center"/>
    </xf>
    <xf numFmtId="0" fontId="13" fillId="2" borderId="5" xfId="0" applyFont="1" applyFill="1" applyBorder="1" applyAlignment="1">
      <alignment horizontal="center" vertical="center"/>
    </xf>
    <xf numFmtId="164" fontId="14" fillId="7" borderId="3" xfId="0" applyNumberFormat="1" applyFont="1" applyFill="1" applyBorder="1" applyAlignment="1">
      <alignment horizontal="right" vertical="center"/>
    </xf>
    <xf numFmtId="0" fontId="13" fillId="3" borderId="3" xfId="0" applyFont="1" applyFill="1" applyBorder="1" applyAlignment="1">
      <alignment horizontal="left" vertical="center"/>
    </xf>
    <xf numFmtId="164" fontId="13" fillId="3" borderId="2" xfId="0" applyNumberFormat="1" applyFont="1" applyFill="1" applyBorder="1" applyAlignment="1">
      <alignment horizontal="right" vertical="center"/>
    </xf>
    <xf numFmtId="164" fontId="14" fillId="15" borderId="3" xfId="0" applyNumberFormat="1" applyFont="1" applyFill="1" applyBorder="1" applyAlignment="1">
      <alignment horizontal="right" vertical="center"/>
    </xf>
    <xf numFmtId="0" fontId="13" fillId="16" borderId="3" xfId="0" applyFont="1" applyFill="1" applyBorder="1" applyAlignment="1">
      <alignment horizontal="left" vertical="center"/>
    </xf>
    <xf numFmtId="164" fontId="13" fillId="16" borderId="7" xfId="0" applyNumberFormat="1" applyFont="1" applyFill="1" applyBorder="1" applyAlignment="1">
      <alignment horizontal="right" vertical="center"/>
    </xf>
    <xf numFmtId="0" fontId="16" fillId="17" borderId="3" xfId="0" applyFont="1" applyFill="1" applyBorder="1" applyAlignment="1">
      <alignment horizontal="left" vertical="center"/>
    </xf>
    <xf numFmtId="167" fontId="17" fillId="4" borderId="3" xfId="0" applyNumberFormat="1" applyFont="1" applyFill="1" applyBorder="1" applyAlignment="1">
      <alignment horizontal="right" vertical="center"/>
    </xf>
    <xf numFmtId="167" fontId="0" fillId="7" borderId="3" xfId="0" applyNumberFormat="1" applyFill="1" applyBorder="1"/>
    <xf numFmtId="164" fontId="0" fillId="7" borderId="3" xfId="0" applyNumberFormat="1" applyFill="1" applyBorder="1"/>
    <xf numFmtId="167" fontId="16" fillId="11" borderId="3" xfId="0" applyNumberFormat="1" applyFont="1" applyFill="1" applyBorder="1" applyAlignment="1">
      <alignment horizontal="right" vertical="center"/>
    </xf>
    <xf numFmtId="49" fontId="17" fillId="4" borderId="3" xfId="0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9" fillId="10" borderId="3" xfId="0" applyFont="1" applyFill="1" applyBorder="1" applyAlignment="1">
      <alignment horizontal="center" vertical="center"/>
    </xf>
    <xf numFmtId="164" fontId="14" fillId="5" borderId="3" xfId="0" applyNumberFormat="1" applyFont="1" applyFill="1" applyBorder="1" applyAlignment="1">
      <alignment horizontal="right" vertical="center"/>
    </xf>
    <xf numFmtId="0" fontId="19" fillId="11" borderId="3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left" vertical="center"/>
    </xf>
    <xf numFmtId="0" fontId="14" fillId="10" borderId="3" xfId="0" applyFont="1" applyFill="1" applyBorder="1" applyAlignment="1">
      <alignment horizontal="center" vertical="center"/>
    </xf>
    <xf numFmtId="164" fontId="16" fillId="11" borderId="3" xfId="0" applyNumberFormat="1" applyFont="1" applyFill="1" applyBorder="1" applyAlignment="1">
      <alignment horizontal="right" vertical="center"/>
    </xf>
    <xf numFmtId="0" fontId="14" fillId="11" borderId="3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left" vertical="center"/>
    </xf>
    <xf numFmtId="0" fontId="0" fillId="9" borderId="1" xfId="0" applyFill="1" applyBorder="1"/>
    <xf numFmtId="10" fontId="14" fillId="6" borderId="3" xfId="0" applyNumberFormat="1" applyFont="1" applyFill="1" applyBorder="1" applyAlignment="1">
      <alignment horizontal="right" vertical="center"/>
    </xf>
    <xf numFmtId="164" fontId="14" fillId="6" borderId="3" xfId="0" applyNumberFormat="1" applyFont="1" applyFill="1" applyBorder="1" applyAlignment="1">
      <alignment horizontal="right" vertical="center"/>
    </xf>
    <xf numFmtId="165" fontId="14" fillId="6" borderId="3" xfId="0" applyNumberFormat="1" applyFont="1" applyFill="1" applyBorder="1" applyAlignment="1">
      <alignment horizontal="right" vertical="center"/>
    </xf>
    <xf numFmtId="10" fontId="20" fillId="3" borderId="2" xfId="0" applyNumberFormat="1" applyFont="1" applyFill="1" applyBorder="1" applyAlignment="1">
      <alignment horizontal="right" vertical="center"/>
    </xf>
    <xf numFmtId="0" fontId="21" fillId="9" borderId="3" xfId="0" applyFont="1" applyFill="1" applyBorder="1" applyAlignment="1">
      <alignment horizontal="left" vertical="center"/>
    </xf>
    <xf numFmtId="0" fontId="0" fillId="17" borderId="0" xfId="0" applyFill="1"/>
    <xf numFmtId="0" fontId="0" fillId="10" borderId="4" xfId="0" applyFill="1" applyBorder="1"/>
    <xf numFmtId="0" fontId="0" fillId="2" borderId="6" xfId="0" applyFill="1" applyBorder="1"/>
    <xf numFmtId="0" fontId="0" fillId="11" borderId="4" xfId="0" applyFill="1" applyBorder="1"/>
    <xf numFmtId="0" fontId="13" fillId="2" borderId="0" xfId="0" applyFont="1" applyFill="1" applyAlignment="1">
      <alignment horizontal="left" vertical="center"/>
    </xf>
    <xf numFmtId="0" fontId="13" fillId="3" borderId="2" xfId="0" applyFont="1" applyFill="1" applyBorder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10" fontId="8" fillId="6" borderId="0" xfId="0" applyNumberFormat="1" applyFont="1" applyFill="1" applyAlignment="1">
      <alignment horizontal="center" vertical="center"/>
    </xf>
    <xf numFmtId="165" fontId="7" fillId="5" borderId="0" xfId="0" applyNumberFormat="1" applyFont="1" applyFill="1" applyAlignment="1">
      <alignment horizontal="center" vertical="center"/>
    </xf>
    <xf numFmtId="0" fontId="0" fillId="4" borderId="0" xfId="0" applyFill="1"/>
    <xf numFmtId="0" fontId="0" fillId="6" borderId="0" xfId="0" applyFill="1"/>
    <xf numFmtId="0" fontId="0" fillId="5" borderId="0" xfId="0" applyFill="1"/>
    <xf numFmtId="0" fontId="0" fillId="7" borderId="0" xfId="0" applyFill="1"/>
    <xf numFmtId="0" fontId="0" fillId="8" borderId="0" xfId="0" applyFill="1"/>
    <xf numFmtId="0" fontId="3" fillId="4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164" fontId="11" fillId="7" borderId="0" xfId="0" applyNumberFormat="1" applyFont="1" applyFill="1" applyAlignment="1">
      <alignment horizontal="center" vertical="center"/>
    </xf>
    <xf numFmtId="165" fontId="12" fillId="8" borderId="0" xfId="0" applyNumberFormat="1" applyFont="1" applyFill="1" applyAlignment="1">
      <alignment horizontal="center" vertical="center"/>
    </xf>
    <xf numFmtId="10" fontId="7" fillId="5" borderId="0" xfId="0" applyNumberFormat="1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164" fontId="8" fillId="6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13" fillId="13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13" fillId="14" borderId="0" xfId="0" applyFont="1" applyFill="1" applyAlignment="1">
      <alignment horizontal="left" vertical="center"/>
    </xf>
    <xf numFmtId="0" fontId="1" fillId="1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C1A1A"/>
      <rgbColor rgb="FF008000"/>
      <rgbColor rgb="FF000080"/>
      <rgbColor rgb="FFB8860B"/>
      <rgbColor rgb="FF800080"/>
      <rgbColor rgb="FF0A7373"/>
      <rgbColor rgb="FFCCCCCC"/>
      <rgbColor rgb="FF7A7A7A"/>
      <rgbColor rgb="FF9999FF"/>
      <rgbColor rgb="FF993366"/>
      <rgbColor rgb="FFFDF5DC"/>
      <rgbColor rgb="FFDCF0EF"/>
      <rgbColor rgb="FF660066"/>
      <rgbColor rgb="FFFF8080"/>
      <rgbColor rgb="FF0066CC"/>
      <rgbColor rgb="FFEBEBEB"/>
      <rgbColor rgb="FF000080"/>
      <rgbColor rgb="FFFF00FF"/>
      <rgbColor rgb="FFFFFF00"/>
      <rgbColor rgb="FF00FFFF"/>
      <rgbColor rgb="FF800080"/>
      <rgbColor rgb="FF800000"/>
      <rgbColor rgb="FF1A6B3C"/>
      <rgbColor rgb="FF0000FF"/>
      <rgbColor rgb="FF00CCFF"/>
      <rgbColor rgb="FFE4F2EB"/>
      <rgbColor rgb="FFEBF3FB"/>
      <rgbColor rgb="FFFDEEDE"/>
      <rgbColor rgb="FFF6F6F6"/>
      <rgbColor rgb="FFFF99CC"/>
      <rgbColor rgb="FFCC99FF"/>
      <rgbColor rgb="FFFAEAEA"/>
      <rgbColor rgb="FF3366FF"/>
      <rgbColor rgb="FF33CCCC"/>
      <rgbColor rgb="FF99CC00"/>
      <rgbColor rgb="FFFFCC00"/>
      <rgbColor rgb="FFFF9900"/>
      <rgbColor rgb="FFC25E1E"/>
      <rgbColor rgb="FF666699"/>
      <rgbColor rgb="FF969696"/>
      <rgbColor rgb="FF1A3A5C"/>
      <rgbColor rgb="FF339966"/>
      <rgbColor rgb="FF0D1B2A"/>
      <rgbColor rgb="FF333300"/>
      <rgbColor rgb="FFA82020"/>
      <rgbColor rgb="FF993366"/>
      <rgbColor rgb="FF333399"/>
      <rgbColor rgb="FF1B3A5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1B2A"/>
  </sheetPr>
  <dimension ref="B1:G38"/>
  <sheetViews>
    <sheetView showGridLines="0" zoomScaleNormal="100" workbookViewId="0">
      <pane xSplit="1" ySplit="2" topLeftCell="B11" activePane="bottomRight" state="frozen"/>
      <selection pane="topRight" activeCell="B1" sqref="B1"/>
      <selection pane="bottomLeft" activeCell="A3" sqref="A3"/>
      <selection pane="bottomRight" activeCell="D16" sqref="D16:E16"/>
    </sheetView>
  </sheetViews>
  <sheetFormatPr defaultColWidth="8.6328125" defaultRowHeight="14.5" x14ac:dyDescent="0.35"/>
  <cols>
    <col min="1" max="1" width="2" customWidth="1"/>
    <col min="2" max="2" width="28.1796875" bestFit="1" customWidth="1"/>
    <col min="3" max="4" width="16" customWidth="1"/>
    <col min="5" max="5" width="20" customWidth="1"/>
    <col min="6" max="7" width="16" customWidth="1"/>
    <col min="8" max="8" width="2" customWidth="1"/>
  </cols>
  <sheetData>
    <row r="1" spans="2:7" ht="43.5" customHeight="1" x14ac:dyDescent="0.35">
      <c r="B1" s="81" t="s">
        <v>0</v>
      </c>
      <c r="C1" s="81"/>
      <c r="D1" s="81"/>
      <c r="E1" s="81"/>
      <c r="F1" s="81"/>
      <c r="G1" s="81"/>
    </row>
    <row r="2" spans="2:7" ht="21.75" customHeight="1" x14ac:dyDescent="0.35">
      <c r="B2" s="82" t="s">
        <v>1</v>
      </c>
      <c r="C2" s="82"/>
      <c r="D2" s="82"/>
      <c r="E2" s="82"/>
      <c r="F2" s="82"/>
      <c r="G2" s="82"/>
    </row>
    <row r="4" spans="2:7" ht="7.5" customHeight="1" x14ac:dyDescent="0.35"/>
    <row r="5" spans="2:7" ht="18" customHeight="1" x14ac:dyDescent="0.35">
      <c r="B5" s="71" t="s">
        <v>2</v>
      </c>
      <c r="C5" s="71"/>
      <c r="D5" s="73" t="s">
        <v>3</v>
      </c>
      <c r="E5" s="73"/>
      <c r="F5" s="72" t="s">
        <v>4</v>
      </c>
      <c r="G5" s="72"/>
    </row>
    <row r="6" spans="2:7" ht="30" customHeight="1" x14ac:dyDescent="0.35">
      <c r="B6" s="63">
        <f>'🏢 Acquisition'!C16</f>
        <v>1650000</v>
      </c>
      <c r="C6" s="63"/>
      <c r="D6" s="79">
        <f>'🏢 Acquisition'!C39</f>
        <v>472762</v>
      </c>
      <c r="E6" s="79"/>
      <c r="F6" s="80">
        <f>'💰 Return Analysis'!C5</f>
        <v>1970000</v>
      </c>
      <c r="G6" s="80"/>
    </row>
    <row r="7" spans="2:7" ht="6" customHeight="1" x14ac:dyDescent="0.35">
      <c r="B7" s="66"/>
      <c r="C7" s="66"/>
      <c r="D7" s="68"/>
      <c r="E7" s="68"/>
      <c r="F7" s="67"/>
      <c r="G7" s="67"/>
    </row>
    <row r="10" spans="2:7" ht="18" customHeight="1" x14ac:dyDescent="0.35">
      <c r="B10" s="74" t="s">
        <v>5</v>
      </c>
      <c r="C10" s="74"/>
      <c r="D10" s="75" t="s">
        <v>6</v>
      </c>
      <c r="E10" s="75"/>
      <c r="F10" s="73" t="s">
        <v>7</v>
      </c>
      <c r="G10" s="73"/>
    </row>
    <row r="11" spans="2:7" ht="30" customHeight="1" x14ac:dyDescent="0.35">
      <c r="B11" s="76">
        <f>'📈 Operating History'!H33</f>
        <v>-38458.29530121322</v>
      </c>
      <c r="C11" s="76"/>
      <c r="D11" s="77">
        <f>'💰 Return Analysis'!C30</f>
        <v>1.7420260187975913</v>
      </c>
      <c r="E11" s="77"/>
      <c r="F11" s="78">
        <f>'💰 Return Analysis'!C49</f>
        <v>5.1096377731797205E-2</v>
      </c>
      <c r="G11" s="78"/>
    </row>
    <row r="12" spans="2:7" ht="6" customHeight="1" x14ac:dyDescent="0.35">
      <c r="B12" s="69"/>
      <c r="C12" s="69"/>
      <c r="D12" s="70"/>
      <c r="E12" s="70"/>
      <c r="F12" s="68"/>
      <c r="G12" s="68"/>
    </row>
    <row r="15" spans="2:7" ht="18" customHeight="1" x14ac:dyDescent="0.35">
      <c r="B15" s="71" t="s">
        <v>8</v>
      </c>
      <c r="C15" s="71"/>
      <c r="D15" s="72" t="s">
        <v>9</v>
      </c>
      <c r="E15" s="72"/>
      <c r="F15" s="73" t="s">
        <v>10</v>
      </c>
      <c r="G15" s="73"/>
    </row>
    <row r="16" spans="2:7" ht="30" customHeight="1" x14ac:dyDescent="0.35">
      <c r="B16" s="63">
        <f>'📈 Operating History'!F31</f>
        <v>68763</v>
      </c>
      <c r="C16" s="63"/>
      <c r="D16" s="64">
        <f>'💰 Return Analysis'!C16</f>
        <v>2.8736969696969698E-2</v>
      </c>
      <c r="E16" s="64"/>
      <c r="F16" s="65">
        <f>'💰 Return Analysis'!C19</f>
        <v>0.9412745610737413</v>
      </c>
      <c r="G16" s="65"/>
    </row>
    <row r="17" spans="2:7" ht="6" customHeight="1" x14ac:dyDescent="0.35">
      <c r="B17" s="66"/>
      <c r="C17" s="66"/>
      <c r="D17" s="67"/>
      <c r="E17" s="67"/>
      <c r="F17" s="68"/>
      <c r="G17" s="68"/>
    </row>
    <row r="20" spans="2:7" ht="24" customHeight="1" x14ac:dyDescent="0.35">
      <c r="B20" s="61" t="s">
        <v>11</v>
      </c>
      <c r="C20" s="61"/>
      <c r="D20" s="61"/>
      <c r="E20" s="61"/>
      <c r="F20" s="61"/>
      <c r="G20" s="61"/>
    </row>
    <row r="21" spans="2:7" ht="21.75" customHeight="1" x14ac:dyDescent="0.35">
      <c r="B21" s="1" t="s">
        <v>12</v>
      </c>
      <c r="C21" s="2" t="s">
        <v>13</v>
      </c>
      <c r="D21" s="2" t="s">
        <v>14</v>
      </c>
      <c r="E21" s="2" t="s">
        <v>15</v>
      </c>
      <c r="F21" s="2" t="s">
        <v>16</v>
      </c>
      <c r="G21" s="2" t="s">
        <v>17</v>
      </c>
    </row>
    <row r="22" spans="2:7" ht="19.5" customHeight="1" x14ac:dyDescent="0.35">
      <c r="B22" s="3" t="s">
        <v>18</v>
      </c>
      <c r="C22" s="4">
        <f>'📈 Operating History'!C15</f>
        <v>108696</v>
      </c>
      <c r="D22" s="4">
        <f>'📈 Operating History'!D15</f>
        <v>124596</v>
      </c>
      <c r="E22" s="4">
        <f>'📈 Operating History'!E15</f>
        <v>133440</v>
      </c>
      <c r="F22" s="4">
        <f>'📈 Operating History'!F15</f>
        <v>142008</v>
      </c>
      <c r="G22" s="4">
        <f>'📈 Operating History'!G15</f>
        <v>36318</v>
      </c>
    </row>
    <row r="23" spans="2:7" ht="19.5" customHeight="1" x14ac:dyDescent="0.35">
      <c r="B23" s="5" t="s">
        <v>19</v>
      </c>
      <c r="C23" s="6">
        <f>'📈 Operating History'!C30</f>
        <v>-61280</v>
      </c>
      <c r="D23" s="6">
        <f>'📈 Operating History'!D30</f>
        <v>-60158</v>
      </c>
      <c r="E23" s="6">
        <f>'📈 Operating History'!E30</f>
        <v>-80453</v>
      </c>
      <c r="F23" s="6">
        <f>'📈 Operating History'!F30</f>
        <v>-73245</v>
      </c>
      <c r="G23" s="6">
        <f>'📈 Operating History'!G30</f>
        <v>-16168</v>
      </c>
    </row>
    <row r="24" spans="2:7" ht="19.5" customHeight="1" x14ac:dyDescent="0.35">
      <c r="B24" s="3" t="s">
        <v>20</v>
      </c>
      <c r="C24" s="4">
        <f>'📈 Operating History'!C31</f>
        <v>47416</v>
      </c>
      <c r="D24" s="4">
        <f>'📈 Operating History'!D31</f>
        <v>64438</v>
      </c>
      <c r="E24" s="4">
        <f>'📈 Operating History'!E31</f>
        <v>52987</v>
      </c>
      <c r="F24" s="4">
        <f>'📈 Operating History'!F31</f>
        <v>68763</v>
      </c>
      <c r="G24" s="4">
        <f>'📈 Operating History'!G31</f>
        <v>20150</v>
      </c>
    </row>
    <row r="25" spans="2:7" ht="19.5" customHeight="1" x14ac:dyDescent="0.35">
      <c r="B25" s="5" t="s">
        <v>21</v>
      </c>
      <c r="C25" s="6">
        <f>'📈 Operating History'!C32</f>
        <v>-54789.80536897749</v>
      </c>
      <c r="D25" s="6">
        <f>'📈 Operating History'!D32</f>
        <v>-73053.07382530332</v>
      </c>
      <c r="E25" s="6">
        <f>'📈 Operating History'!E32</f>
        <v>-73053.07382530332</v>
      </c>
      <c r="F25" s="6">
        <f>'📈 Operating History'!F32</f>
        <v>-73053.07382530332</v>
      </c>
      <c r="G25" s="6">
        <f>'📈 Operating History'!G32</f>
        <v>-18263.26845632583</v>
      </c>
    </row>
    <row r="26" spans="2:7" ht="19.5" customHeight="1" x14ac:dyDescent="0.35">
      <c r="B26" s="3" t="s">
        <v>22</v>
      </c>
      <c r="C26" s="4">
        <f>'📈 Operating History'!C33</f>
        <v>-7373.8053689774897</v>
      </c>
      <c r="D26" s="4">
        <f>'📈 Operating History'!D33</f>
        <v>-8615.0738253033196</v>
      </c>
      <c r="E26" s="4">
        <f>'📈 Operating History'!E33</f>
        <v>-20066.07382530332</v>
      </c>
      <c r="F26" s="4">
        <f>'📈 Operating History'!F33</f>
        <v>-4290.0738253033196</v>
      </c>
      <c r="G26" s="4">
        <f>'📈 Operating History'!G33</f>
        <v>1886.7315436741701</v>
      </c>
    </row>
    <row r="27" spans="2:7" ht="19.5" customHeight="1" x14ac:dyDescent="0.35">
      <c r="B27" s="5" t="s">
        <v>23</v>
      </c>
      <c r="C27" s="7">
        <f>'📈 Operating History'!C33/'🏢 Acquisition'!C39</f>
        <v>-1.5597288633556609E-2</v>
      </c>
      <c r="D27" s="7">
        <f>'📈 Operating History'!D33/'🏢 Acquisition'!C39</f>
        <v>-1.8222855951415977E-2</v>
      </c>
      <c r="E27" s="7">
        <f>'📈 Operating History'!E33/'🏢 Acquisition'!C39</f>
        <v>-4.2444345834274581E-2</v>
      </c>
      <c r="F27" s="7">
        <f>'📈 Operating History'!F33/'🏢 Acquisition'!C39</f>
        <v>-9.0744895429482903E-3</v>
      </c>
      <c r="G27" s="7">
        <f>'📈 Operating History'!G33/'🏢 Acquisition'!C39</f>
        <v>3.9908697054208461E-3</v>
      </c>
    </row>
    <row r="29" spans="2:7" ht="7.5" customHeight="1" x14ac:dyDescent="0.35"/>
    <row r="30" spans="2:7" ht="24" customHeight="1" x14ac:dyDescent="0.35">
      <c r="B30" s="61" t="s">
        <v>24</v>
      </c>
      <c r="C30" s="61"/>
      <c r="D30" s="61"/>
      <c r="E30" s="61"/>
      <c r="F30" s="61"/>
      <c r="G30" s="61"/>
    </row>
    <row r="31" spans="2:7" ht="21.75" customHeight="1" x14ac:dyDescent="0.35">
      <c r="B31" s="2" t="s">
        <v>25</v>
      </c>
      <c r="C31" s="2" t="s">
        <v>26</v>
      </c>
      <c r="D31" s="62" t="s">
        <v>27</v>
      </c>
      <c r="E31" s="62"/>
      <c r="F31" s="62"/>
      <c r="G31" s="62"/>
    </row>
    <row r="32" spans="2:7" ht="21.75" customHeight="1" x14ac:dyDescent="0.35">
      <c r="B32" s="8" t="s">
        <v>28</v>
      </c>
      <c r="C32" s="9">
        <f>'💰 Return Analysis'!C27</f>
        <v>320000</v>
      </c>
      <c r="D32" s="58"/>
      <c r="E32" s="58"/>
      <c r="F32" s="58"/>
      <c r="G32" s="58"/>
    </row>
    <row r="33" spans="2:7" ht="21.75" customHeight="1" x14ac:dyDescent="0.35">
      <c r="B33" s="10" t="s">
        <v>29</v>
      </c>
      <c r="C33" s="9">
        <f>'💰 Return Analysis'!C28</f>
        <v>69260</v>
      </c>
      <c r="D33" s="60"/>
      <c r="E33" s="60"/>
      <c r="F33" s="60"/>
      <c r="G33" s="60"/>
    </row>
    <row r="34" spans="2:7" ht="21.75" customHeight="1" x14ac:dyDescent="0.35">
      <c r="B34" s="8" t="s">
        <v>30</v>
      </c>
      <c r="C34" s="9">
        <f>'💰 Return Analysis'!C29</f>
        <v>350801.70469878678</v>
      </c>
      <c r="D34" s="58"/>
      <c r="E34" s="58"/>
      <c r="F34" s="58"/>
      <c r="G34" s="58"/>
    </row>
    <row r="35" spans="2:7" ht="21.75" customHeight="1" x14ac:dyDescent="0.35">
      <c r="B35" s="11" t="s">
        <v>31</v>
      </c>
      <c r="C35" s="12">
        <f>'💰 Return Analysis'!C30</f>
        <v>1.7420260187975913</v>
      </c>
      <c r="D35" s="59"/>
      <c r="E35" s="59"/>
      <c r="F35" s="59"/>
      <c r="G35" s="59"/>
    </row>
    <row r="36" spans="2:7" ht="21.75" customHeight="1" x14ac:dyDescent="0.35">
      <c r="B36" s="8" t="s">
        <v>32</v>
      </c>
      <c r="C36" s="13">
        <f>'💰 Return Analysis'!C31</f>
        <v>0.18945345160789562</v>
      </c>
      <c r="D36" s="58"/>
      <c r="E36" s="58"/>
      <c r="F36" s="58"/>
      <c r="G36" s="58"/>
    </row>
    <row r="37" spans="2:7" ht="21.75" customHeight="1" x14ac:dyDescent="0.35">
      <c r="B37" s="10" t="s">
        <v>33</v>
      </c>
      <c r="C37" s="14">
        <f>'💰 Return Analysis'!C32</f>
        <v>0</v>
      </c>
      <c r="D37" s="60"/>
      <c r="E37" s="60"/>
      <c r="F37" s="60"/>
      <c r="G37" s="60"/>
    </row>
    <row r="38" spans="2:7" ht="21.75" customHeight="1" x14ac:dyDescent="0.35">
      <c r="B38" s="8" t="s">
        <v>34</v>
      </c>
      <c r="C38" s="14">
        <f>'💰 Return Analysis'!C49</f>
        <v>5.1096377731797205E-2</v>
      </c>
      <c r="D38" s="58"/>
      <c r="E38" s="58"/>
      <c r="F38" s="58"/>
      <c r="G38" s="58"/>
    </row>
  </sheetData>
  <sheetProtection algorithmName="SHA-512" hashValue="Db94DUcsmwyvg2Gg2lxbF8eBHPfuTFvqQMJ87j3Fsl2yjOX02Ues+xsX/KxyoyuIVoyFovt0jkjZIYJe4PJ0FQ==" saltValue="eZhiIBvYz8J0KiKL6bMoUw==" spinCount="100000" sheet="1" objects="1" scenarios="1"/>
  <mergeCells count="39">
    <mergeCell ref="B1:G1"/>
    <mergeCell ref="B2:G2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20:G20"/>
    <mergeCell ref="B30:G30"/>
    <mergeCell ref="D31:G31"/>
    <mergeCell ref="D32:G32"/>
    <mergeCell ref="D33:G33"/>
    <mergeCell ref="D34:G34"/>
    <mergeCell ref="D35:G35"/>
    <mergeCell ref="D36:G36"/>
    <mergeCell ref="D37:G37"/>
    <mergeCell ref="D38:G3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3A5C"/>
  </sheetPr>
  <dimension ref="B1:D40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 x14ac:dyDescent="0.35"/>
  <cols>
    <col min="1" max="1" width="2" customWidth="1"/>
    <col min="2" max="2" width="34" customWidth="1"/>
    <col min="3" max="3" width="35.90625" bestFit="1" customWidth="1"/>
    <col min="4" max="4" width="18" customWidth="1"/>
    <col min="5" max="5" width="2" customWidth="1"/>
  </cols>
  <sheetData>
    <row r="1" spans="2:4" ht="43.5" customHeight="1" x14ac:dyDescent="0.35">
      <c r="B1" s="83" t="s">
        <v>35</v>
      </c>
      <c r="C1" s="83"/>
      <c r="D1" s="83"/>
    </row>
    <row r="2" spans="2:4" ht="21.75" customHeight="1" x14ac:dyDescent="0.35">
      <c r="B2" s="82" t="s">
        <v>36</v>
      </c>
      <c r="C2" s="82"/>
      <c r="D2" s="82"/>
    </row>
    <row r="4" spans="2:4" ht="24" customHeight="1" x14ac:dyDescent="0.35">
      <c r="B4" s="61" t="s">
        <v>37</v>
      </c>
      <c r="C4" s="61"/>
      <c r="D4" s="61"/>
    </row>
    <row r="5" spans="2:4" ht="19.5" customHeight="1" x14ac:dyDescent="0.35">
      <c r="B5" s="3" t="s">
        <v>38</v>
      </c>
      <c r="C5" s="15" t="s">
        <v>39</v>
      </c>
    </row>
    <row r="6" spans="2:4" ht="19.5" customHeight="1" x14ac:dyDescent="0.35">
      <c r="B6" s="3" t="s">
        <v>40</v>
      </c>
      <c r="C6" s="15" t="s">
        <v>41</v>
      </c>
    </row>
    <row r="7" spans="2:4" ht="19.5" customHeight="1" x14ac:dyDescent="0.35">
      <c r="B7" s="3" t="s">
        <v>42</v>
      </c>
      <c r="C7" s="16" t="s">
        <v>43</v>
      </c>
    </row>
    <row r="8" spans="2:4" ht="19.5" customHeight="1" x14ac:dyDescent="0.35">
      <c r="B8" s="3" t="s">
        <v>44</v>
      </c>
      <c r="C8" s="16" t="s">
        <v>45</v>
      </c>
    </row>
    <row r="9" spans="2:4" ht="19.5" customHeight="1" x14ac:dyDescent="0.35">
      <c r="B9" s="3" t="s">
        <v>46</v>
      </c>
      <c r="C9" s="17">
        <f>DATEDIF(C7,C8,"M")</f>
        <v>47</v>
      </c>
    </row>
    <row r="10" spans="2:4" ht="19.5" customHeight="1" x14ac:dyDescent="0.35">
      <c r="B10" s="3" t="s">
        <v>47</v>
      </c>
      <c r="C10" s="18">
        <f>C9/12</f>
        <v>3.9166666666666665</v>
      </c>
    </row>
    <row r="11" spans="2:4" ht="19.5" customHeight="1" x14ac:dyDescent="0.35">
      <c r="B11" s="3" t="s">
        <v>48</v>
      </c>
      <c r="C11" s="19">
        <v>14</v>
      </c>
    </row>
    <row r="12" spans="2:4" ht="19.5" customHeight="1" x14ac:dyDescent="0.35">
      <c r="B12" s="3" t="s">
        <v>49</v>
      </c>
      <c r="C12" s="15" t="s">
        <v>50</v>
      </c>
    </row>
    <row r="14" spans="2:4" ht="24" customHeight="1" x14ac:dyDescent="0.35">
      <c r="B14" s="61" t="s">
        <v>51</v>
      </c>
      <c r="C14" s="61"/>
      <c r="D14" s="61"/>
    </row>
    <row r="15" spans="2:4" ht="19.5" customHeight="1" x14ac:dyDescent="0.35">
      <c r="B15" s="2" t="s">
        <v>52</v>
      </c>
      <c r="C15" s="2" t="s">
        <v>53</v>
      </c>
      <c r="D15" s="20" t="s">
        <v>27</v>
      </c>
    </row>
    <row r="16" spans="2:4" ht="19.5" customHeight="1" x14ac:dyDescent="0.35">
      <c r="B16" s="8" t="s">
        <v>54</v>
      </c>
      <c r="C16" s="21">
        <v>1650000</v>
      </c>
      <c r="D16" s="22" t="s">
        <v>55</v>
      </c>
    </row>
    <row r="17" spans="2:4" ht="19.5" customHeight="1" x14ac:dyDescent="0.35">
      <c r="B17" s="10" t="s">
        <v>56</v>
      </c>
      <c r="C17" s="21">
        <v>25000</v>
      </c>
      <c r="D17" s="23" t="s">
        <v>57</v>
      </c>
    </row>
    <row r="18" spans="2:4" ht="19.5" customHeight="1" x14ac:dyDescent="0.35">
      <c r="B18" s="8" t="s">
        <v>58</v>
      </c>
      <c r="C18" s="21">
        <v>4950</v>
      </c>
      <c r="D18" s="22" t="s">
        <v>59</v>
      </c>
    </row>
    <row r="19" spans="2:4" ht="19.5" customHeight="1" x14ac:dyDescent="0.35">
      <c r="B19" s="10" t="s">
        <v>60</v>
      </c>
      <c r="C19" s="21">
        <v>3200</v>
      </c>
      <c r="D19" s="23" t="s">
        <v>61</v>
      </c>
    </row>
    <row r="20" spans="2:4" ht="19.5" customHeight="1" x14ac:dyDescent="0.35">
      <c r="B20" s="8" t="s">
        <v>62</v>
      </c>
      <c r="C20" s="21">
        <v>2800</v>
      </c>
      <c r="D20" s="22" t="s">
        <v>63</v>
      </c>
    </row>
    <row r="21" spans="2:4" ht="19.5" customHeight="1" x14ac:dyDescent="0.35">
      <c r="B21" s="10" t="s">
        <v>64</v>
      </c>
      <c r="C21" s="21">
        <v>480</v>
      </c>
      <c r="D21" s="23" t="s">
        <v>65</v>
      </c>
    </row>
    <row r="22" spans="2:4" ht="19.5" customHeight="1" x14ac:dyDescent="0.35">
      <c r="B22" s="8" t="s">
        <v>66</v>
      </c>
      <c r="C22" s="21">
        <v>1200</v>
      </c>
      <c r="D22" s="22" t="s">
        <v>67</v>
      </c>
    </row>
    <row r="23" spans="2:4" ht="19.5" customHeight="1" x14ac:dyDescent="0.35">
      <c r="B23" s="10" t="s">
        <v>68</v>
      </c>
      <c r="C23" s="21">
        <v>1800</v>
      </c>
      <c r="D23" s="23" t="s">
        <v>69</v>
      </c>
    </row>
    <row r="24" spans="2:4" ht="19.5" customHeight="1" x14ac:dyDescent="0.35">
      <c r="B24" s="8" t="s">
        <v>70</v>
      </c>
      <c r="C24" s="21">
        <v>2500</v>
      </c>
      <c r="D24" s="22" t="s">
        <v>71</v>
      </c>
    </row>
    <row r="25" spans="2:4" ht="19.5" customHeight="1" x14ac:dyDescent="0.35">
      <c r="B25" s="10" t="s">
        <v>72</v>
      </c>
      <c r="C25" s="21">
        <v>4812</v>
      </c>
      <c r="D25" s="23" t="s">
        <v>73</v>
      </c>
    </row>
    <row r="26" spans="2:4" ht="19.5" customHeight="1" x14ac:dyDescent="0.35">
      <c r="B26" s="8" t="s">
        <v>74</v>
      </c>
      <c r="C26" s="21">
        <v>3920</v>
      </c>
      <c r="D26" s="22" t="s">
        <v>75</v>
      </c>
    </row>
    <row r="27" spans="2:4" ht="19.5" customHeight="1" x14ac:dyDescent="0.35">
      <c r="B27" s="10" t="s">
        <v>76</v>
      </c>
      <c r="C27" s="21">
        <v>8400</v>
      </c>
      <c r="D27" s="23" t="s">
        <v>77</v>
      </c>
    </row>
    <row r="28" spans="2:4" ht="19.5" customHeight="1" x14ac:dyDescent="0.35">
      <c r="B28" s="8" t="s">
        <v>78</v>
      </c>
      <c r="C28" s="21">
        <v>1200</v>
      </c>
      <c r="D28" s="22" t="s">
        <v>79</v>
      </c>
    </row>
    <row r="29" spans="2:4" ht="21.75" customHeight="1" x14ac:dyDescent="0.35">
      <c r="B29" s="11" t="s">
        <v>80</v>
      </c>
      <c r="C29" s="12">
        <f>SUM(C16:C28)</f>
        <v>1710262</v>
      </c>
      <c r="D29" s="24"/>
    </row>
    <row r="31" spans="2:4" ht="24" customHeight="1" x14ac:dyDescent="0.35">
      <c r="B31" s="61" t="s">
        <v>81</v>
      </c>
      <c r="C31" s="61"/>
      <c r="D31" s="61"/>
    </row>
    <row r="32" spans="2:4" ht="19.5" customHeight="1" x14ac:dyDescent="0.35">
      <c r="B32" s="2" t="s">
        <v>52</v>
      </c>
      <c r="C32" s="2" t="s">
        <v>82</v>
      </c>
      <c r="D32" s="20" t="s">
        <v>27</v>
      </c>
    </row>
    <row r="33" spans="2:4" ht="19.5" customHeight="1" x14ac:dyDescent="0.35">
      <c r="B33" s="8" t="s">
        <v>83</v>
      </c>
      <c r="C33" s="21">
        <v>1237500</v>
      </c>
      <c r="D33" s="22" t="s">
        <v>84</v>
      </c>
    </row>
    <row r="34" spans="2:4" ht="19.5" customHeight="1" x14ac:dyDescent="0.35">
      <c r="B34" s="10" t="s">
        <v>85</v>
      </c>
      <c r="C34" s="25">
        <f>C33/C16</f>
        <v>0.75</v>
      </c>
      <c r="D34" s="23" t="s">
        <v>86</v>
      </c>
    </row>
    <row r="35" spans="2:4" ht="19.5" customHeight="1" x14ac:dyDescent="0.35">
      <c r="B35" s="8" t="s">
        <v>87</v>
      </c>
      <c r="C35" s="26">
        <v>4.2500000000000003E-2</v>
      </c>
      <c r="D35" s="22" t="s">
        <v>88</v>
      </c>
    </row>
    <row r="36" spans="2:4" ht="19.5" customHeight="1" x14ac:dyDescent="0.35">
      <c r="B36" s="10" t="s">
        <v>89</v>
      </c>
      <c r="C36" s="27">
        <v>360</v>
      </c>
      <c r="D36" s="23" t="s">
        <v>90</v>
      </c>
    </row>
    <row r="37" spans="2:4" ht="19.5" customHeight="1" x14ac:dyDescent="0.35">
      <c r="B37" s="8" t="s">
        <v>91</v>
      </c>
      <c r="C37" s="28">
        <f>PMT(C35/12,C36,-C33)</f>
        <v>6087.75615210861</v>
      </c>
      <c r="D37" s="22" t="s">
        <v>92</v>
      </c>
    </row>
    <row r="38" spans="2:4" ht="19.5" customHeight="1" x14ac:dyDescent="0.35">
      <c r="B38" s="10" t="s">
        <v>21</v>
      </c>
      <c r="C38" s="28">
        <f>C37*12</f>
        <v>73053.07382530332</v>
      </c>
      <c r="D38" s="23" t="s">
        <v>93</v>
      </c>
    </row>
    <row r="39" spans="2:4" ht="19.5" customHeight="1" x14ac:dyDescent="0.35">
      <c r="B39" s="8" t="s">
        <v>94</v>
      </c>
      <c r="C39" s="28">
        <f>C29-C33</f>
        <v>472762</v>
      </c>
      <c r="D39" s="22" t="s">
        <v>95</v>
      </c>
    </row>
    <row r="40" spans="2:4" ht="19.5" customHeight="1" x14ac:dyDescent="0.35">
      <c r="B40" s="10" t="s">
        <v>96</v>
      </c>
      <c r="C40" s="25">
        <f>C39/C16</f>
        <v>0.28652242424242425</v>
      </c>
      <c r="D40" s="23" t="s">
        <v>97</v>
      </c>
    </row>
  </sheetData>
  <sheetProtection algorithmName="SHA-512" hashValue="qX2ix0MzHaO6dY0GgHnwzhFTmysvJuH0SWhMMJA2cnf1xy1PPf7eEB20UXsaH+kvxnhX0Z9I0lGaEf7385rZ9w==" saltValue="0JOR2EQSaPDyG4EO6S/EuA==" spinCount="100000" sheet="1" objects="1" scenarios="1"/>
  <mergeCells count="5">
    <mergeCell ref="B1:D1"/>
    <mergeCell ref="B2:D2"/>
    <mergeCell ref="B4:D4"/>
    <mergeCell ref="B14:D14"/>
    <mergeCell ref="B31:D3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6B3C"/>
  </sheetPr>
  <dimension ref="B1:H3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2" customWidth="1"/>
    <col min="2" max="2" width="30" customWidth="1"/>
    <col min="3" max="8" width="14" customWidth="1"/>
    <col min="9" max="9" width="2" customWidth="1"/>
  </cols>
  <sheetData>
    <row r="1" spans="2:8" ht="43.5" customHeight="1" x14ac:dyDescent="0.35">
      <c r="B1" s="85" t="s">
        <v>98</v>
      </c>
      <c r="C1" s="85"/>
      <c r="D1" s="85"/>
      <c r="E1" s="85"/>
      <c r="F1" s="85"/>
      <c r="G1" s="85"/>
      <c r="H1" s="85"/>
    </row>
    <row r="2" spans="2:8" ht="21.75" customHeight="1" x14ac:dyDescent="0.35">
      <c r="B2" s="82" t="s">
        <v>99</v>
      </c>
      <c r="C2" s="82"/>
      <c r="D2" s="82"/>
      <c r="E2" s="82"/>
      <c r="F2" s="82"/>
      <c r="G2" s="82"/>
      <c r="H2" s="82"/>
    </row>
    <row r="4" spans="2:8" ht="21.75" customHeight="1" x14ac:dyDescent="0.35">
      <c r="B4" s="11" t="s">
        <v>100</v>
      </c>
      <c r="C4" s="29" t="s">
        <v>13</v>
      </c>
      <c r="D4" s="29" t="s">
        <v>14</v>
      </c>
      <c r="E4" s="29" t="s">
        <v>15</v>
      </c>
      <c r="F4" s="29" t="s">
        <v>16</v>
      </c>
      <c r="G4" s="29" t="s">
        <v>17</v>
      </c>
      <c r="H4" s="2" t="s">
        <v>101</v>
      </c>
    </row>
    <row r="5" spans="2:8" ht="24" customHeight="1" x14ac:dyDescent="0.35">
      <c r="B5" s="84" t="s">
        <v>102</v>
      </c>
      <c r="C5" s="84"/>
      <c r="D5" s="84"/>
      <c r="E5" s="84"/>
      <c r="F5" s="84"/>
      <c r="G5" s="84"/>
      <c r="H5" s="84"/>
    </row>
    <row r="6" spans="2:8" ht="19.5" customHeight="1" x14ac:dyDescent="0.35">
      <c r="B6" s="8" t="s">
        <v>103</v>
      </c>
      <c r="C6" s="21">
        <v>118440</v>
      </c>
      <c r="D6" s="21">
        <v>131040</v>
      </c>
      <c r="E6" s="21">
        <v>138720</v>
      </c>
      <c r="F6" s="21">
        <v>145440</v>
      </c>
      <c r="G6" s="21">
        <v>37128</v>
      </c>
      <c r="H6" s="30">
        <f>SUM(C6:G6)</f>
        <v>570768</v>
      </c>
    </row>
    <row r="7" spans="2:8" ht="19.5" customHeight="1" x14ac:dyDescent="0.35">
      <c r="B7" s="10" t="s">
        <v>104</v>
      </c>
      <c r="C7" s="21">
        <v>-9024</v>
      </c>
      <c r="D7" s="21">
        <v>-8244</v>
      </c>
      <c r="E7" s="21">
        <v>-7560</v>
      </c>
      <c r="F7" s="21">
        <v>-6432</v>
      </c>
      <c r="G7" s="21">
        <v>-1560</v>
      </c>
      <c r="H7" s="30">
        <f>SUM(C7:G7)</f>
        <v>-32820</v>
      </c>
    </row>
    <row r="8" spans="2:8" ht="19.5" customHeight="1" x14ac:dyDescent="0.35">
      <c r="B8" s="8" t="s">
        <v>105</v>
      </c>
      <c r="C8" s="21">
        <v>-2100</v>
      </c>
      <c r="D8" s="21">
        <v>-600</v>
      </c>
      <c r="E8" s="21">
        <v>-300</v>
      </c>
      <c r="F8" s="21">
        <v>0</v>
      </c>
      <c r="G8" s="21">
        <v>0</v>
      </c>
      <c r="H8" s="30">
        <f>SUM(C8:G8)</f>
        <v>-3000</v>
      </c>
    </row>
    <row r="9" spans="2:8" ht="19.5" customHeight="1" x14ac:dyDescent="0.35">
      <c r="B9" s="10" t="s">
        <v>106</v>
      </c>
      <c r="C9" s="21">
        <v>-1800</v>
      </c>
      <c r="D9" s="21">
        <v>-1200</v>
      </c>
      <c r="E9" s="21">
        <v>-900</v>
      </c>
      <c r="F9" s="21">
        <v>-600</v>
      </c>
      <c r="G9" s="21">
        <v>-120</v>
      </c>
      <c r="H9" s="30">
        <f>SUM(C9:G9)</f>
        <v>-4620</v>
      </c>
    </row>
    <row r="10" spans="2:8" ht="24" customHeight="1" x14ac:dyDescent="0.35">
      <c r="B10" s="84" t="s">
        <v>107</v>
      </c>
      <c r="C10" s="84"/>
      <c r="D10" s="84"/>
      <c r="E10" s="84"/>
      <c r="F10" s="84"/>
      <c r="G10" s="84"/>
      <c r="H10" s="84"/>
    </row>
    <row r="11" spans="2:8" ht="19.5" customHeight="1" x14ac:dyDescent="0.35">
      <c r="B11" s="10" t="s">
        <v>108</v>
      </c>
      <c r="C11" s="21">
        <v>1080</v>
      </c>
      <c r="D11" s="21">
        <v>1200</v>
      </c>
      <c r="E11" s="21">
        <v>960</v>
      </c>
      <c r="F11" s="21">
        <v>840</v>
      </c>
      <c r="G11" s="21">
        <v>180</v>
      </c>
      <c r="H11" s="30">
        <f>SUM(C11:G11)</f>
        <v>4260</v>
      </c>
    </row>
    <row r="12" spans="2:8" ht="19.5" customHeight="1" x14ac:dyDescent="0.35">
      <c r="B12" s="8" t="s">
        <v>109</v>
      </c>
      <c r="C12" s="21">
        <v>720</v>
      </c>
      <c r="D12" s="21">
        <v>840</v>
      </c>
      <c r="E12" s="21">
        <v>900</v>
      </c>
      <c r="F12" s="21">
        <v>960</v>
      </c>
      <c r="G12" s="21">
        <v>240</v>
      </c>
      <c r="H12" s="30">
        <f>SUM(C12:G12)</f>
        <v>3660</v>
      </c>
    </row>
    <row r="13" spans="2:8" ht="19.5" customHeight="1" x14ac:dyDescent="0.35">
      <c r="B13" s="10" t="s">
        <v>110</v>
      </c>
      <c r="C13" s="21">
        <v>420</v>
      </c>
      <c r="D13" s="21">
        <v>480</v>
      </c>
      <c r="E13" s="21">
        <v>540</v>
      </c>
      <c r="F13" s="21">
        <v>600</v>
      </c>
      <c r="G13" s="21">
        <v>150</v>
      </c>
      <c r="H13" s="30">
        <f>SUM(C13:G13)</f>
        <v>2190</v>
      </c>
    </row>
    <row r="14" spans="2:8" ht="19.5" customHeight="1" x14ac:dyDescent="0.35">
      <c r="B14" s="8" t="s">
        <v>111</v>
      </c>
      <c r="C14" s="21">
        <v>960</v>
      </c>
      <c r="D14" s="21">
        <v>1080</v>
      </c>
      <c r="E14" s="21">
        <v>1080</v>
      </c>
      <c r="F14" s="21">
        <v>1200</v>
      </c>
      <c r="G14" s="21">
        <v>300</v>
      </c>
      <c r="H14" s="30">
        <f>SUM(C14:G14)</f>
        <v>4620</v>
      </c>
    </row>
    <row r="15" spans="2:8" ht="21.75" customHeight="1" x14ac:dyDescent="0.35">
      <c r="B15" s="31" t="s">
        <v>112</v>
      </c>
      <c r="C15" s="32">
        <f t="shared" ref="C15:H15" si="0">SUM(C6:C14)</f>
        <v>108696</v>
      </c>
      <c r="D15" s="32">
        <f t="shared" si="0"/>
        <v>124596</v>
      </c>
      <c r="E15" s="32">
        <f t="shared" si="0"/>
        <v>133440</v>
      </c>
      <c r="F15" s="32">
        <f t="shared" si="0"/>
        <v>142008</v>
      </c>
      <c r="G15" s="32">
        <f t="shared" si="0"/>
        <v>36318</v>
      </c>
      <c r="H15" s="32">
        <f t="shared" si="0"/>
        <v>545058</v>
      </c>
    </row>
    <row r="16" spans="2:8" ht="24" customHeight="1" x14ac:dyDescent="0.35">
      <c r="B16" s="86" t="s">
        <v>113</v>
      </c>
      <c r="C16" s="86"/>
      <c r="D16" s="86"/>
      <c r="E16" s="86"/>
      <c r="F16" s="86"/>
      <c r="G16" s="86"/>
      <c r="H16" s="86"/>
    </row>
    <row r="17" spans="2:8" ht="19.5" customHeight="1" x14ac:dyDescent="0.35">
      <c r="B17" s="10" t="s">
        <v>114</v>
      </c>
      <c r="C17" s="21">
        <v>-8640</v>
      </c>
      <c r="D17" s="21">
        <v>-9936</v>
      </c>
      <c r="E17" s="21">
        <v>-10560</v>
      </c>
      <c r="F17" s="21">
        <v>-11088</v>
      </c>
      <c r="G17" s="21">
        <v>-2754</v>
      </c>
      <c r="H17" s="33">
        <f t="shared" ref="H17:H29" si="1">SUM(C17:G17)</f>
        <v>-42978</v>
      </c>
    </row>
    <row r="18" spans="2:8" ht="19.5" customHeight="1" x14ac:dyDescent="0.35">
      <c r="B18" s="8" t="s">
        <v>115</v>
      </c>
      <c r="C18" s="21">
        <v>-14400</v>
      </c>
      <c r="D18" s="21">
        <v>-15120</v>
      </c>
      <c r="E18" s="21">
        <v>-15876</v>
      </c>
      <c r="F18" s="21">
        <v>-16669</v>
      </c>
      <c r="G18" s="21">
        <v>-4167</v>
      </c>
      <c r="H18" s="33">
        <f t="shared" si="1"/>
        <v>-66232</v>
      </c>
    </row>
    <row r="19" spans="2:8" ht="19.5" customHeight="1" x14ac:dyDescent="0.35">
      <c r="B19" s="10" t="s">
        <v>116</v>
      </c>
      <c r="C19" s="21">
        <v>-4800</v>
      </c>
      <c r="D19" s="21">
        <v>-5040</v>
      </c>
      <c r="E19" s="21">
        <v>-5292</v>
      </c>
      <c r="F19" s="21">
        <v>-5557</v>
      </c>
      <c r="G19" s="21">
        <v>-1389</v>
      </c>
      <c r="H19" s="33">
        <f t="shared" si="1"/>
        <v>-22078</v>
      </c>
    </row>
    <row r="20" spans="2:8" ht="19.5" customHeight="1" x14ac:dyDescent="0.35">
      <c r="B20" s="8" t="s">
        <v>117</v>
      </c>
      <c r="C20" s="21">
        <v>-6480</v>
      </c>
      <c r="D20" s="21">
        <v>-6804</v>
      </c>
      <c r="E20" s="21">
        <v>-7144</v>
      </c>
      <c r="F20" s="21">
        <v>-7501</v>
      </c>
      <c r="G20" s="21">
        <v>-1875</v>
      </c>
      <c r="H20" s="33">
        <f t="shared" si="1"/>
        <v>-29804</v>
      </c>
    </row>
    <row r="21" spans="2:8" ht="19.5" customHeight="1" x14ac:dyDescent="0.35">
      <c r="B21" s="10" t="s">
        <v>118</v>
      </c>
      <c r="C21" s="21">
        <v>-1800</v>
      </c>
      <c r="D21" s="21">
        <v>-1890</v>
      </c>
      <c r="E21" s="21">
        <v>-1985</v>
      </c>
      <c r="F21" s="21">
        <v>-2084</v>
      </c>
      <c r="G21" s="21">
        <v>-521</v>
      </c>
      <c r="H21" s="33">
        <f t="shared" si="1"/>
        <v>-8280</v>
      </c>
    </row>
    <row r="22" spans="2:8" ht="19.5" customHeight="1" x14ac:dyDescent="0.35">
      <c r="B22" s="8" t="s">
        <v>119</v>
      </c>
      <c r="C22" s="21">
        <v>-2400</v>
      </c>
      <c r="D22" s="21">
        <v>-2520</v>
      </c>
      <c r="E22" s="21">
        <v>-2646</v>
      </c>
      <c r="F22" s="21">
        <v>-2778</v>
      </c>
      <c r="G22" s="21">
        <v>-695</v>
      </c>
      <c r="H22" s="33">
        <f t="shared" si="1"/>
        <v>-11039</v>
      </c>
    </row>
    <row r="23" spans="2:8" ht="19.5" customHeight="1" x14ac:dyDescent="0.35">
      <c r="B23" s="10" t="s">
        <v>120</v>
      </c>
      <c r="C23" s="21">
        <v>-7200</v>
      </c>
      <c r="D23" s="21">
        <v>-6000</v>
      </c>
      <c r="E23" s="21">
        <v>-9600</v>
      </c>
      <c r="F23" s="21">
        <v>-12000</v>
      </c>
      <c r="G23" s="21">
        <v>-2400</v>
      </c>
      <c r="H23" s="33">
        <f t="shared" si="1"/>
        <v>-37200</v>
      </c>
    </row>
    <row r="24" spans="2:8" ht="19.5" customHeight="1" x14ac:dyDescent="0.35">
      <c r="B24" s="8" t="s">
        <v>121</v>
      </c>
      <c r="C24" s="21">
        <v>-5000</v>
      </c>
      <c r="D24" s="21">
        <v>-3200</v>
      </c>
      <c r="E24" s="21">
        <v>-18000</v>
      </c>
      <c r="F24" s="21">
        <v>-6500</v>
      </c>
      <c r="G24" s="21">
        <v>0</v>
      </c>
      <c r="H24" s="33">
        <f t="shared" si="1"/>
        <v>-32700</v>
      </c>
    </row>
    <row r="25" spans="2:8" ht="19.5" customHeight="1" x14ac:dyDescent="0.35">
      <c r="B25" s="10" t="s">
        <v>122</v>
      </c>
      <c r="C25" s="21">
        <v>-1440</v>
      </c>
      <c r="D25" s="21">
        <v>-1512</v>
      </c>
      <c r="E25" s="21">
        <v>-1588</v>
      </c>
      <c r="F25" s="21">
        <v>-1667</v>
      </c>
      <c r="G25" s="21">
        <v>-417</v>
      </c>
      <c r="H25" s="33">
        <f t="shared" si="1"/>
        <v>-6624</v>
      </c>
    </row>
    <row r="26" spans="2:8" ht="19.5" customHeight="1" x14ac:dyDescent="0.35">
      <c r="B26" s="8" t="s">
        <v>123</v>
      </c>
      <c r="C26" s="21">
        <v>-960</v>
      </c>
      <c r="D26" s="21">
        <v>-1008</v>
      </c>
      <c r="E26" s="21">
        <v>-1058</v>
      </c>
      <c r="F26" s="21">
        <v>-1111</v>
      </c>
      <c r="G26" s="21">
        <v>-278</v>
      </c>
      <c r="H26" s="33">
        <f t="shared" si="1"/>
        <v>-4415</v>
      </c>
    </row>
    <row r="27" spans="2:8" ht="19.5" customHeight="1" x14ac:dyDescent="0.35">
      <c r="B27" s="10" t="s">
        <v>124</v>
      </c>
      <c r="C27" s="21">
        <v>-1200</v>
      </c>
      <c r="D27" s="21">
        <v>-1200</v>
      </c>
      <c r="E27" s="21">
        <v>-1200</v>
      </c>
      <c r="F27" s="21">
        <v>-1200</v>
      </c>
      <c r="G27" s="21">
        <v>-300</v>
      </c>
      <c r="H27" s="33">
        <f t="shared" si="1"/>
        <v>-5100</v>
      </c>
    </row>
    <row r="28" spans="2:8" ht="19.5" customHeight="1" x14ac:dyDescent="0.35">
      <c r="B28" s="8" t="s">
        <v>125</v>
      </c>
      <c r="C28" s="21">
        <v>-3600</v>
      </c>
      <c r="D28" s="21">
        <v>-2400</v>
      </c>
      <c r="E28" s="21">
        <v>-1800</v>
      </c>
      <c r="F28" s="21">
        <v>-1200</v>
      </c>
      <c r="G28" s="21">
        <v>-400</v>
      </c>
      <c r="H28" s="33">
        <f t="shared" si="1"/>
        <v>-9400</v>
      </c>
    </row>
    <row r="29" spans="2:8" ht="19.5" customHeight="1" x14ac:dyDescent="0.35">
      <c r="B29" s="10" t="s">
        <v>126</v>
      </c>
      <c r="C29" s="21">
        <v>-3360</v>
      </c>
      <c r="D29" s="21">
        <v>-3528</v>
      </c>
      <c r="E29" s="21">
        <v>-3704</v>
      </c>
      <c r="F29" s="21">
        <v>-3890</v>
      </c>
      <c r="G29" s="21">
        <v>-972</v>
      </c>
      <c r="H29" s="33">
        <f t="shared" si="1"/>
        <v>-15454</v>
      </c>
    </row>
    <row r="30" spans="2:8" ht="21.75" customHeight="1" x14ac:dyDescent="0.35">
      <c r="B30" s="34" t="s">
        <v>127</v>
      </c>
      <c r="C30" s="35">
        <f t="shared" ref="C30:H30" si="2">SUM(C17:C29)</f>
        <v>-61280</v>
      </c>
      <c r="D30" s="35">
        <f t="shared" si="2"/>
        <v>-60158</v>
      </c>
      <c r="E30" s="35">
        <f t="shared" si="2"/>
        <v>-80453</v>
      </c>
      <c r="F30" s="35">
        <f t="shared" si="2"/>
        <v>-73245</v>
      </c>
      <c r="G30" s="35">
        <f t="shared" si="2"/>
        <v>-16168</v>
      </c>
      <c r="H30" s="35">
        <f t="shared" si="2"/>
        <v>-291304</v>
      </c>
    </row>
    <row r="31" spans="2:8" ht="25.5" customHeight="1" x14ac:dyDescent="0.35">
      <c r="B31" s="11" t="s">
        <v>128</v>
      </c>
      <c r="C31" s="12">
        <f t="shared" ref="C31:H31" si="3">C15+C30</f>
        <v>47416</v>
      </c>
      <c r="D31" s="12">
        <f t="shared" si="3"/>
        <v>64438</v>
      </c>
      <c r="E31" s="12">
        <f t="shared" si="3"/>
        <v>52987</v>
      </c>
      <c r="F31" s="12">
        <f t="shared" si="3"/>
        <v>68763</v>
      </c>
      <c r="G31" s="12">
        <f t="shared" si="3"/>
        <v>20150</v>
      </c>
      <c r="H31" s="12">
        <f t="shared" si="3"/>
        <v>253754</v>
      </c>
    </row>
    <row r="32" spans="2:8" ht="19.5" customHeight="1" x14ac:dyDescent="0.35">
      <c r="B32" s="36" t="s">
        <v>129</v>
      </c>
      <c r="C32" s="6">
        <f>-'🏢 Acquisition'!C37*9</f>
        <v>-54789.80536897749</v>
      </c>
      <c r="D32" s="6">
        <f>-'🏢 Acquisition'!C37*12</f>
        <v>-73053.07382530332</v>
      </c>
      <c r="E32" s="6">
        <f>-'🏢 Acquisition'!C37*12</f>
        <v>-73053.07382530332</v>
      </c>
      <c r="F32" s="6">
        <f>-'🏢 Acquisition'!C37*12</f>
        <v>-73053.07382530332</v>
      </c>
      <c r="G32" s="6">
        <f>-'🏢 Acquisition'!C37*3</f>
        <v>-18263.26845632583</v>
      </c>
      <c r="H32" s="30">
        <f>SUM(C32:G32)</f>
        <v>-292212.29530121322</v>
      </c>
    </row>
    <row r="33" spans="2:8" ht="25.5" customHeight="1" x14ac:dyDescent="0.35">
      <c r="B33" s="31" t="s">
        <v>130</v>
      </c>
      <c r="C33" s="32">
        <f t="shared" ref="C33:H33" si="4">C31+C32</f>
        <v>-7373.8053689774897</v>
      </c>
      <c r="D33" s="32">
        <f t="shared" si="4"/>
        <v>-8615.0738253033196</v>
      </c>
      <c r="E33" s="32">
        <f t="shared" si="4"/>
        <v>-20066.07382530332</v>
      </c>
      <c r="F33" s="32">
        <f t="shared" si="4"/>
        <v>-4290.0738253033196</v>
      </c>
      <c r="G33" s="32">
        <f t="shared" si="4"/>
        <v>1886.7315436741701</v>
      </c>
      <c r="H33" s="32">
        <f t="shared" si="4"/>
        <v>-38458.29530121322</v>
      </c>
    </row>
    <row r="34" spans="2:8" ht="24" customHeight="1" x14ac:dyDescent="0.35">
      <c r="B34" s="84" t="s">
        <v>131</v>
      </c>
      <c r="C34" s="84"/>
      <c r="D34" s="84"/>
      <c r="E34" s="84"/>
      <c r="F34" s="84"/>
      <c r="G34" s="84"/>
      <c r="H34" s="84"/>
    </row>
    <row r="35" spans="2:8" ht="19.5" customHeight="1" x14ac:dyDescent="0.35">
      <c r="B35" s="8" t="s">
        <v>132</v>
      </c>
      <c r="C35" s="37">
        <v>0.93400000000000005</v>
      </c>
      <c r="D35" s="37">
        <v>0.94299999999999995</v>
      </c>
      <c r="E35" s="37">
        <v>0.95299999999999996</v>
      </c>
      <c r="F35" s="37">
        <v>0.96199999999999997</v>
      </c>
      <c r="G35" s="37">
        <v>0.96899999999999997</v>
      </c>
      <c r="H35" s="38">
        <f>AVERAGE(C35:G35)</f>
        <v>0.95220000000000005</v>
      </c>
    </row>
    <row r="36" spans="2:8" ht="19.5" customHeight="1" x14ac:dyDescent="0.35">
      <c r="B36" s="10" t="s">
        <v>133</v>
      </c>
      <c r="C36" s="37">
        <v>0.91200000000000003</v>
      </c>
      <c r="D36" s="37">
        <v>0.93799999999999994</v>
      </c>
      <c r="E36" s="37">
        <v>0.94699999999999995</v>
      </c>
      <c r="F36" s="37">
        <v>0.95699999999999996</v>
      </c>
      <c r="G36" s="37">
        <v>0.96399999999999997</v>
      </c>
      <c r="H36" s="38">
        <f>AVERAGE(C36:G36)</f>
        <v>0.94359999999999999</v>
      </c>
    </row>
    <row r="37" spans="2:8" ht="19.5" customHeight="1" x14ac:dyDescent="0.35">
      <c r="B37" s="8" t="s">
        <v>134</v>
      </c>
      <c r="C37" s="21">
        <v>1053</v>
      </c>
      <c r="D37" s="21">
        <v>1165</v>
      </c>
      <c r="E37" s="21">
        <v>1233</v>
      </c>
      <c r="F37" s="21">
        <v>1294</v>
      </c>
      <c r="G37" s="21">
        <v>1325</v>
      </c>
      <c r="H37" s="39">
        <f>AVERAGE(C37:G37)</f>
        <v>1214</v>
      </c>
    </row>
    <row r="38" spans="2:8" ht="19.5" customHeight="1" x14ac:dyDescent="0.35">
      <c r="B38" s="10" t="s">
        <v>135</v>
      </c>
      <c r="C38" s="40">
        <f t="shared" ref="C38:H38" si="5">IF(C15=0,0,-C30/C15)</f>
        <v>0.56377419592257305</v>
      </c>
      <c r="D38" s="40">
        <f t="shared" si="5"/>
        <v>0.48282448874763234</v>
      </c>
      <c r="E38" s="40">
        <f t="shared" si="5"/>
        <v>0.60291516786570742</v>
      </c>
      <c r="F38" s="40">
        <f t="shared" si="5"/>
        <v>0.51578080108162916</v>
      </c>
      <c r="G38" s="40">
        <f t="shared" si="5"/>
        <v>0.4451786992675808</v>
      </c>
      <c r="H38" s="38">
        <f t="shared" si="5"/>
        <v>0.53444587548481082</v>
      </c>
    </row>
  </sheetData>
  <sheetProtection algorithmName="SHA-512" hashValue="UOmnzwL7GmEADJoPuwggZeH9z0UHoa3l8jQbnowI8I8PbyyoqbVz7BwQq9uG9tevePvmI4v8EsPK9bqrq4Ud0Q==" saltValue="HIciuXDiJ5unGz487UacGQ==" spinCount="100000" sheet="1" objects="1" scenarios="1"/>
  <mergeCells count="6">
    <mergeCell ref="B34:H34"/>
    <mergeCell ref="B1:H1"/>
    <mergeCell ref="B2:H2"/>
    <mergeCell ref="B5:H5"/>
    <mergeCell ref="B10:H10"/>
    <mergeCell ref="B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8860B"/>
  </sheetPr>
  <dimension ref="B1:H26"/>
  <sheetViews>
    <sheetView showGridLines="0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8.6328125" defaultRowHeight="14.5" x14ac:dyDescent="0.35"/>
  <cols>
    <col min="1" max="1" width="2" customWidth="1"/>
    <col min="2" max="2" width="8" customWidth="1"/>
    <col min="3" max="3" width="24" customWidth="1"/>
    <col min="4" max="7" width="16" customWidth="1"/>
    <col min="8" max="8" width="14" customWidth="1"/>
    <col min="9" max="9" width="2" customWidth="1"/>
  </cols>
  <sheetData>
    <row r="1" spans="2:8" ht="43.5" customHeight="1" x14ac:dyDescent="0.35">
      <c r="B1" s="87" t="s">
        <v>136</v>
      </c>
      <c r="C1" s="87"/>
      <c r="D1" s="87"/>
      <c r="E1" s="87"/>
      <c r="F1" s="87"/>
      <c r="G1" s="87"/>
      <c r="H1" s="87"/>
    </row>
    <row r="2" spans="2:8" ht="21.75" customHeight="1" x14ac:dyDescent="0.35">
      <c r="B2" s="82" t="s">
        <v>137</v>
      </c>
      <c r="C2" s="82"/>
      <c r="D2" s="82"/>
      <c r="E2" s="82"/>
      <c r="F2" s="82"/>
      <c r="G2" s="82"/>
      <c r="H2" s="82"/>
    </row>
    <row r="4" spans="2:8" ht="24" customHeight="1" x14ac:dyDescent="0.35">
      <c r="B4" s="61" t="s">
        <v>138</v>
      </c>
      <c r="C4" s="61"/>
      <c r="D4" s="61"/>
      <c r="E4" s="41" t="s">
        <v>16</v>
      </c>
    </row>
    <row r="6" spans="2:8" ht="24" customHeight="1" x14ac:dyDescent="0.35">
      <c r="B6" s="61" t="s">
        <v>139</v>
      </c>
      <c r="C6" s="61"/>
      <c r="D6" s="61"/>
      <c r="E6" s="61"/>
      <c r="F6" s="61"/>
      <c r="G6" s="61"/>
      <c r="H6" s="61"/>
    </row>
    <row r="7" spans="2:8" ht="31.5" customHeight="1" x14ac:dyDescent="0.35">
      <c r="B7" s="2" t="s">
        <v>140</v>
      </c>
      <c r="C7" s="20" t="s">
        <v>141</v>
      </c>
      <c r="D7" s="42" t="s">
        <v>142</v>
      </c>
      <c r="E7" s="42" t="s">
        <v>143</v>
      </c>
      <c r="F7" s="42" t="s">
        <v>144</v>
      </c>
      <c r="G7" s="42" t="s">
        <v>145</v>
      </c>
      <c r="H7" s="42" t="s">
        <v>146</v>
      </c>
    </row>
    <row r="8" spans="2:8" ht="19.5" customHeight="1" x14ac:dyDescent="0.35">
      <c r="B8" s="43">
        <v>1</v>
      </c>
      <c r="C8" s="8" t="s">
        <v>147</v>
      </c>
      <c r="D8" s="21">
        <v>12120</v>
      </c>
      <c r="E8" s="21">
        <v>1702</v>
      </c>
      <c r="F8" s="28">
        <f t="shared" ref="F8:F19" si="0">D8-E8</f>
        <v>10418</v>
      </c>
      <c r="G8" s="21">
        <v>10418</v>
      </c>
      <c r="H8" s="44">
        <f t="shared" ref="H8:H19" si="1">G8-F8</f>
        <v>0</v>
      </c>
    </row>
    <row r="9" spans="2:8" ht="19.5" customHeight="1" x14ac:dyDescent="0.35">
      <c r="B9" s="45">
        <v>2</v>
      </c>
      <c r="C9" s="10" t="s">
        <v>148</v>
      </c>
      <c r="D9" s="21">
        <v>12120</v>
      </c>
      <c r="E9" s="21">
        <v>1694</v>
      </c>
      <c r="F9" s="28">
        <f t="shared" si="0"/>
        <v>10426</v>
      </c>
      <c r="G9" s="21">
        <v>10426</v>
      </c>
      <c r="H9" s="44">
        <f t="shared" si="1"/>
        <v>0</v>
      </c>
    </row>
    <row r="10" spans="2:8" ht="19.5" customHeight="1" x14ac:dyDescent="0.35">
      <c r="B10" s="43">
        <v>3</v>
      </c>
      <c r="C10" s="8" t="s">
        <v>149</v>
      </c>
      <c r="D10" s="21">
        <v>12120</v>
      </c>
      <c r="E10" s="21">
        <v>1718</v>
      </c>
      <c r="F10" s="28">
        <f t="shared" si="0"/>
        <v>10402</v>
      </c>
      <c r="G10" s="21">
        <v>10402</v>
      </c>
      <c r="H10" s="44">
        <f t="shared" si="1"/>
        <v>0</v>
      </c>
    </row>
    <row r="11" spans="2:8" ht="19.5" customHeight="1" x14ac:dyDescent="0.35">
      <c r="B11" s="45">
        <v>4</v>
      </c>
      <c r="C11" s="10" t="s">
        <v>150</v>
      </c>
      <c r="D11" s="21">
        <v>12240</v>
      </c>
      <c r="E11" s="21">
        <v>1699</v>
      </c>
      <c r="F11" s="28">
        <f t="shared" si="0"/>
        <v>10541</v>
      </c>
      <c r="G11" s="21">
        <v>10541</v>
      </c>
      <c r="H11" s="44">
        <f t="shared" si="1"/>
        <v>0</v>
      </c>
    </row>
    <row r="12" spans="2:8" ht="19.5" customHeight="1" x14ac:dyDescent="0.35">
      <c r="B12" s="43">
        <v>5</v>
      </c>
      <c r="C12" s="8" t="s">
        <v>151</v>
      </c>
      <c r="D12" s="21">
        <v>12240</v>
      </c>
      <c r="E12" s="21">
        <v>1712</v>
      </c>
      <c r="F12" s="28">
        <f t="shared" si="0"/>
        <v>10528</v>
      </c>
      <c r="G12" s="21">
        <v>10528</v>
      </c>
      <c r="H12" s="44">
        <f t="shared" si="1"/>
        <v>0</v>
      </c>
    </row>
    <row r="13" spans="2:8" ht="19.5" customHeight="1" x14ac:dyDescent="0.35">
      <c r="B13" s="45">
        <v>6</v>
      </c>
      <c r="C13" s="10" t="s">
        <v>152</v>
      </c>
      <c r="D13" s="21">
        <v>12120</v>
      </c>
      <c r="E13" s="21">
        <v>1830</v>
      </c>
      <c r="F13" s="28">
        <f t="shared" si="0"/>
        <v>10290</v>
      </c>
      <c r="G13" s="21">
        <v>10290</v>
      </c>
      <c r="H13" s="44">
        <f t="shared" si="1"/>
        <v>0</v>
      </c>
    </row>
    <row r="14" spans="2:8" ht="19.5" customHeight="1" x14ac:dyDescent="0.35">
      <c r="B14" s="43">
        <v>7</v>
      </c>
      <c r="C14" s="8" t="s">
        <v>153</v>
      </c>
      <c r="D14" s="21">
        <v>12240</v>
      </c>
      <c r="E14" s="21">
        <v>1699</v>
      </c>
      <c r="F14" s="28">
        <f t="shared" si="0"/>
        <v>10541</v>
      </c>
      <c r="G14" s="21">
        <v>10541</v>
      </c>
      <c r="H14" s="44">
        <f t="shared" si="1"/>
        <v>0</v>
      </c>
    </row>
    <row r="15" spans="2:8" ht="19.5" customHeight="1" x14ac:dyDescent="0.35">
      <c r="B15" s="45">
        <v>8</v>
      </c>
      <c r="C15" s="10" t="s">
        <v>154</v>
      </c>
      <c r="D15" s="21">
        <v>12360</v>
      </c>
      <c r="E15" s="21">
        <v>1708</v>
      </c>
      <c r="F15" s="28">
        <f t="shared" si="0"/>
        <v>10652</v>
      </c>
      <c r="G15" s="21">
        <v>10652</v>
      </c>
      <c r="H15" s="44">
        <f t="shared" si="1"/>
        <v>0</v>
      </c>
    </row>
    <row r="16" spans="2:8" ht="19.5" customHeight="1" x14ac:dyDescent="0.35">
      <c r="B16" s="43">
        <v>9</v>
      </c>
      <c r="C16" s="8" t="s">
        <v>155</v>
      </c>
      <c r="D16" s="21">
        <v>12360</v>
      </c>
      <c r="E16" s="21">
        <v>1725</v>
      </c>
      <c r="F16" s="28">
        <f t="shared" si="0"/>
        <v>10635</v>
      </c>
      <c r="G16" s="21">
        <v>10635</v>
      </c>
      <c r="H16" s="44">
        <f t="shared" si="1"/>
        <v>0</v>
      </c>
    </row>
    <row r="17" spans="2:8" ht="19.5" customHeight="1" x14ac:dyDescent="0.35">
      <c r="B17" s="45">
        <v>10</v>
      </c>
      <c r="C17" s="10" t="s">
        <v>156</v>
      </c>
      <c r="D17" s="21">
        <v>12480</v>
      </c>
      <c r="E17" s="21">
        <v>1699</v>
      </c>
      <c r="F17" s="28">
        <f t="shared" si="0"/>
        <v>10781</v>
      </c>
      <c r="G17" s="21">
        <v>10781</v>
      </c>
      <c r="H17" s="44">
        <f t="shared" si="1"/>
        <v>0</v>
      </c>
    </row>
    <row r="18" spans="2:8" ht="19.5" customHeight="1" x14ac:dyDescent="0.35">
      <c r="B18" s="43">
        <v>11</v>
      </c>
      <c r="C18" s="8" t="s">
        <v>157</v>
      </c>
      <c r="D18" s="21">
        <v>12480</v>
      </c>
      <c r="E18" s="21">
        <v>1714</v>
      </c>
      <c r="F18" s="28">
        <f t="shared" si="0"/>
        <v>10766</v>
      </c>
      <c r="G18" s="21">
        <v>10766</v>
      </c>
      <c r="H18" s="44">
        <f t="shared" si="1"/>
        <v>0</v>
      </c>
    </row>
    <row r="19" spans="2:8" ht="19.5" customHeight="1" x14ac:dyDescent="0.35">
      <c r="B19" s="45">
        <v>12</v>
      </c>
      <c r="C19" s="10" t="s">
        <v>158</v>
      </c>
      <c r="D19" s="21">
        <v>12480</v>
      </c>
      <c r="E19" s="21">
        <v>2180</v>
      </c>
      <c r="F19" s="28">
        <f t="shared" si="0"/>
        <v>10300</v>
      </c>
      <c r="G19" s="21">
        <v>10300</v>
      </c>
      <c r="H19" s="44">
        <f t="shared" si="1"/>
        <v>0</v>
      </c>
    </row>
    <row r="20" spans="2:8" ht="24" customHeight="1" x14ac:dyDescent="0.35">
      <c r="B20" s="46" t="s">
        <v>159</v>
      </c>
      <c r="C20" s="46" t="s">
        <v>160</v>
      </c>
      <c r="D20" s="12">
        <f>SUM(D8:D19)</f>
        <v>147360</v>
      </c>
      <c r="E20" s="12">
        <f>SUM(E8:E19)</f>
        <v>21080</v>
      </c>
      <c r="F20" s="12">
        <f>SUM(F8:F19)</f>
        <v>126280</v>
      </c>
      <c r="G20" s="12">
        <f>SUM(G8:G19)</f>
        <v>126280</v>
      </c>
      <c r="H20" s="12">
        <f>SUM(H8:H19)</f>
        <v>0</v>
      </c>
    </row>
    <row r="22" spans="2:8" ht="24" customHeight="1" x14ac:dyDescent="0.35">
      <c r="B22" s="61" t="s">
        <v>161</v>
      </c>
      <c r="C22" s="61"/>
      <c r="D22" s="61"/>
      <c r="E22" s="61"/>
      <c r="F22" s="61"/>
      <c r="G22" s="61"/>
      <c r="H22" s="61"/>
    </row>
    <row r="23" spans="2:8" ht="19.5" customHeight="1" x14ac:dyDescent="0.35">
      <c r="B23" s="20" t="s">
        <v>162</v>
      </c>
      <c r="C23" s="20" t="s">
        <v>163</v>
      </c>
      <c r="D23" s="2" t="s">
        <v>164</v>
      </c>
      <c r="E23" s="2" t="s">
        <v>165</v>
      </c>
      <c r="F23" s="2" t="s">
        <v>166</v>
      </c>
      <c r="G23" s="2" t="s">
        <v>167</v>
      </c>
    </row>
    <row r="24" spans="2:8" ht="21.75" customHeight="1" x14ac:dyDescent="0.35">
      <c r="B24" s="3" t="s">
        <v>168</v>
      </c>
      <c r="C24" s="8" t="s">
        <v>169</v>
      </c>
      <c r="D24" s="28">
        <f>G20</f>
        <v>126280</v>
      </c>
      <c r="E24" s="28">
        <f>F20</f>
        <v>126280</v>
      </c>
      <c r="F24" s="28">
        <f>D24-E24</f>
        <v>0</v>
      </c>
      <c r="G24" s="47" t="str">
        <f>IF(ABS(F24)&lt;1,"✅ CLEAN","🔴 REVIEW")</f>
        <v>✅ CLEAN</v>
      </c>
    </row>
    <row r="25" spans="2:8" ht="21.75" customHeight="1" x14ac:dyDescent="0.35">
      <c r="B25" s="5" t="s">
        <v>170</v>
      </c>
      <c r="C25" s="10" t="s">
        <v>171</v>
      </c>
      <c r="D25" s="48">
        <f>D20*0.08</f>
        <v>11788.800000000001</v>
      </c>
      <c r="E25" s="48">
        <f>E20</f>
        <v>21080</v>
      </c>
      <c r="F25" s="48">
        <f>D25-E25</f>
        <v>-9291.1999999999989</v>
      </c>
      <c r="G25" s="49" t="str">
        <f>IF(ABS(F25)&lt;2,"✅ CLEAN","🔴 REVIEW")</f>
        <v>🔴 REVIEW</v>
      </c>
    </row>
    <row r="26" spans="2:8" ht="21.75" customHeight="1" x14ac:dyDescent="0.35">
      <c r="B26" s="3" t="s">
        <v>172</v>
      </c>
      <c r="C26" s="8" t="s">
        <v>173</v>
      </c>
      <c r="D26" s="28">
        <v>0</v>
      </c>
      <c r="E26" s="28">
        <f>H20</f>
        <v>0</v>
      </c>
      <c r="F26" s="28">
        <f>H20</f>
        <v>0</v>
      </c>
      <c r="G26" s="47" t="str">
        <f>IF(ABS(F26)&lt;1,"✅ CLEAN","🔴 REVIEW")</f>
        <v>✅ CLEAN</v>
      </c>
    </row>
  </sheetData>
  <sheetProtection algorithmName="SHA-512" hashValue="J1JNaMvUlVU3l+KIkpjRQryKzEtIaxm3aIrM7rpNl11qViHFxSvdq1cpBEiRl4rLJZNKW0TD18Iu7HH6EzDZQw==" saltValue="t5RDpgeVnLgoaFAvIP9BUg==" spinCount="100000" sheet="1" objects="1" scenarios="1"/>
  <mergeCells count="5">
    <mergeCell ref="B1:H1"/>
    <mergeCell ref="B2:H2"/>
    <mergeCell ref="B4:D4"/>
    <mergeCell ref="B6:H6"/>
    <mergeCell ref="B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8860B"/>
  </sheetPr>
  <dimension ref="B1:D49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 x14ac:dyDescent="0.35"/>
  <cols>
    <col min="1" max="1" width="2" customWidth="1"/>
    <col min="2" max="2" width="34" customWidth="1"/>
    <col min="3" max="3" width="18" customWidth="1"/>
    <col min="4" max="4" width="22" customWidth="1"/>
    <col min="5" max="5" width="2" customWidth="1"/>
  </cols>
  <sheetData>
    <row r="1" spans="2:4" ht="43.5" customHeight="1" x14ac:dyDescent="0.35">
      <c r="B1" s="87" t="s">
        <v>174</v>
      </c>
      <c r="C1" s="87"/>
      <c r="D1" s="87"/>
    </row>
    <row r="2" spans="2:4" ht="21.75" customHeight="1" x14ac:dyDescent="0.35">
      <c r="B2" s="82" t="s">
        <v>175</v>
      </c>
      <c r="C2" s="82"/>
      <c r="D2" s="82"/>
    </row>
    <row r="4" spans="2:4" ht="24" customHeight="1" x14ac:dyDescent="0.35">
      <c r="B4" s="61" t="s">
        <v>176</v>
      </c>
      <c r="C4" s="61"/>
      <c r="D4" s="61"/>
    </row>
    <row r="5" spans="2:4" ht="19.5" customHeight="1" x14ac:dyDescent="0.35">
      <c r="B5" s="3" t="s">
        <v>177</v>
      </c>
      <c r="C5" s="21">
        <v>1970000</v>
      </c>
      <c r="D5" s="22" t="s">
        <v>178</v>
      </c>
    </row>
    <row r="6" spans="2:4" ht="19.5" customHeight="1" x14ac:dyDescent="0.35">
      <c r="B6" s="5" t="s">
        <v>179</v>
      </c>
      <c r="C6" s="26">
        <v>0.06</v>
      </c>
      <c r="D6" s="23" t="s">
        <v>180</v>
      </c>
    </row>
    <row r="7" spans="2:4" ht="19.5" customHeight="1" x14ac:dyDescent="0.35">
      <c r="B7" s="3" t="s">
        <v>181</v>
      </c>
      <c r="C7" s="4">
        <f>C5*(1-C6)</f>
        <v>1851800</v>
      </c>
      <c r="D7" s="22" t="s">
        <v>182</v>
      </c>
    </row>
    <row r="8" spans="2:4" ht="19.5" customHeight="1" x14ac:dyDescent="0.35">
      <c r="B8" s="5" t="s">
        <v>183</v>
      </c>
      <c r="C8" s="6">
        <f>C5*0</f>
        <v>0</v>
      </c>
      <c r="D8" s="23" t="s">
        <v>184</v>
      </c>
    </row>
    <row r="9" spans="2:4" ht="19.5" customHeight="1" x14ac:dyDescent="0.35">
      <c r="B9" s="3" t="s">
        <v>185</v>
      </c>
      <c r="C9" s="21">
        <v>1168240</v>
      </c>
      <c r="D9" s="22" t="s">
        <v>186</v>
      </c>
    </row>
    <row r="10" spans="2:4" ht="19.5" customHeight="1" x14ac:dyDescent="0.35">
      <c r="B10" s="5" t="s">
        <v>187</v>
      </c>
      <c r="C10" s="6">
        <f>C7-C9</f>
        <v>683560</v>
      </c>
      <c r="D10" s="23" t="s">
        <v>188</v>
      </c>
    </row>
    <row r="11" spans="2:4" ht="19.5" customHeight="1" x14ac:dyDescent="0.35">
      <c r="B11" s="3" t="s">
        <v>189</v>
      </c>
      <c r="C11" s="4">
        <f>'🏢 Acquisition'!C39</f>
        <v>472762</v>
      </c>
      <c r="D11" s="22" t="s">
        <v>190</v>
      </c>
    </row>
    <row r="13" spans="2:4" ht="24" customHeight="1" x14ac:dyDescent="0.35">
      <c r="B13" s="61" t="s">
        <v>191</v>
      </c>
      <c r="C13" s="61"/>
      <c r="D13" s="61"/>
    </row>
    <row r="14" spans="2:4" ht="21.75" customHeight="1" x14ac:dyDescent="0.35">
      <c r="B14" s="20" t="s">
        <v>12</v>
      </c>
      <c r="C14" s="2" t="s">
        <v>192</v>
      </c>
      <c r="D14" s="20" t="s">
        <v>193</v>
      </c>
    </row>
    <row r="15" spans="2:4" ht="21.75" customHeight="1" x14ac:dyDescent="0.35">
      <c r="B15" s="50" t="s">
        <v>194</v>
      </c>
      <c r="C15" s="51"/>
      <c r="D15" s="51"/>
    </row>
    <row r="16" spans="2:4" ht="21.75" customHeight="1" x14ac:dyDescent="0.35">
      <c r="B16" s="10" t="s">
        <v>195</v>
      </c>
      <c r="C16" s="52">
        <f>'📈 Operating History'!C31/'🏢 Acquisition'!C16</f>
        <v>2.8736969696969698E-2</v>
      </c>
      <c r="D16" s="23" t="s">
        <v>196</v>
      </c>
    </row>
    <row r="17" spans="2:4" ht="21.75" customHeight="1" x14ac:dyDescent="0.35">
      <c r="B17" s="8" t="s">
        <v>197</v>
      </c>
      <c r="C17" s="52">
        <f>'📈 Operating History'!F31/C5</f>
        <v>3.490507614213198E-2</v>
      </c>
      <c r="D17" s="22" t="s">
        <v>198</v>
      </c>
    </row>
    <row r="18" spans="2:4" ht="21.75" customHeight="1" x14ac:dyDescent="0.35">
      <c r="B18" s="10" t="s">
        <v>199</v>
      </c>
      <c r="C18" s="53">
        <f>'📈 Operating History'!F31</f>
        <v>68763</v>
      </c>
      <c r="D18" s="23" t="s">
        <v>200</v>
      </c>
    </row>
    <row r="19" spans="2:4" ht="21.75" customHeight="1" x14ac:dyDescent="0.35">
      <c r="B19" s="8" t="s">
        <v>201</v>
      </c>
      <c r="C19" s="54">
        <f>IF('🏢 Acquisition'!C38=0,0,'📈 Operating History'!F31/'🏢 Acquisition'!C38)</f>
        <v>0.9412745610737413</v>
      </c>
      <c r="D19" s="22" t="s">
        <v>202</v>
      </c>
    </row>
    <row r="20" spans="2:4" ht="21.75" customHeight="1" x14ac:dyDescent="0.35">
      <c r="B20" s="50" t="s">
        <v>203</v>
      </c>
      <c r="C20" s="51"/>
      <c r="D20" s="51"/>
    </row>
    <row r="21" spans="2:4" ht="21.75" customHeight="1" x14ac:dyDescent="0.35">
      <c r="B21" s="8" t="s">
        <v>204</v>
      </c>
      <c r="C21" s="52">
        <f>'📈 Operating History'!C33/'🏢 Acquisition'!C39</f>
        <v>-1.5597288633556609E-2</v>
      </c>
      <c r="D21" s="22" t="s">
        <v>205</v>
      </c>
    </row>
    <row r="22" spans="2:4" ht="21.75" customHeight="1" x14ac:dyDescent="0.35">
      <c r="B22" s="10" t="s">
        <v>206</v>
      </c>
      <c r="C22" s="52">
        <f>'📈 Operating History'!D33/'🏢 Acquisition'!C39</f>
        <v>-1.8222855951415977E-2</v>
      </c>
      <c r="D22" s="23" t="s">
        <v>207</v>
      </c>
    </row>
    <row r="23" spans="2:4" ht="21.75" customHeight="1" x14ac:dyDescent="0.35">
      <c r="B23" s="8" t="s">
        <v>208</v>
      </c>
      <c r="C23" s="52">
        <f>'📈 Operating History'!E33/'🏢 Acquisition'!C39</f>
        <v>-4.2444345834274581E-2</v>
      </c>
      <c r="D23" s="22" t="s">
        <v>207</v>
      </c>
    </row>
    <row r="24" spans="2:4" ht="21.75" customHeight="1" x14ac:dyDescent="0.35">
      <c r="B24" s="10" t="s">
        <v>209</v>
      </c>
      <c r="C24" s="52">
        <f>'📈 Operating History'!F33/'🏢 Acquisition'!C39</f>
        <v>-9.0744895429482903E-3</v>
      </c>
      <c r="D24" s="23" t="s">
        <v>207</v>
      </c>
    </row>
    <row r="25" spans="2:4" ht="21.75" customHeight="1" x14ac:dyDescent="0.35">
      <c r="B25" s="50" t="s">
        <v>210</v>
      </c>
      <c r="C25" s="51"/>
      <c r="D25" s="51"/>
    </row>
    <row r="26" spans="2:4" ht="21.75" customHeight="1" x14ac:dyDescent="0.35">
      <c r="B26" s="10" t="s">
        <v>211</v>
      </c>
      <c r="C26" s="53">
        <f>'📈 Operating History'!H33</f>
        <v>-38458.29530121322</v>
      </c>
      <c r="D26" s="23" t="s">
        <v>212</v>
      </c>
    </row>
    <row r="27" spans="2:4" ht="21.75" customHeight="1" x14ac:dyDescent="0.35">
      <c r="B27" s="8" t="s">
        <v>213</v>
      </c>
      <c r="C27" s="53">
        <f>C5-'🏢 Acquisition'!C16</f>
        <v>320000</v>
      </c>
      <c r="D27" s="22" t="s">
        <v>214</v>
      </c>
    </row>
    <row r="28" spans="2:4" ht="21.75" customHeight="1" x14ac:dyDescent="0.35">
      <c r="B28" s="10" t="s">
        <v>215</v>
      </c>
      <c r="C28" s="53">
        <f>'🏢 Acquisition'!C33-C9</f>
        <v>69260</v>
      </c>
      <c r="D28" s="23" t="s">
        <v>216</v>
      </c>
    </row>
    <row r="29" spans="2:4" ht="21.75" customHeight="1" x14ac:dyDescent="0.35">
      <c r="B29" s="8" t="s">
        <v>217</v>
      </c>
      <c r="C29" s="53">
        <f>C26+C27+C28</f>
        <v>350801.70469878678</v>
      </c>
      <c r="D29" s="22" t="s">
        <v>218</v>
      </c>
    </row>
    <row r="30" spans="2:4" ht="21.75" customHeight="1" x14ac:dyDescent="0.35">
      <c r="B30" s="10" t="s">
        <v>219</v>
      </c>
      <c r="C30" s="54">
        <f>IF(C11=0,0,(C11+C29)/C11)</f>
        <v>1.7420260187975913</v>
      </c>
      <c r="D30" s="23" t="s">
        <v>220</v>
      </c>
    </row>
    <row r="31" spans="2:4" ht="21.75" customHeight="1" x14ac:dyDescent="0.35">
      <c r="B31" s="8" t="s">
        <v>221</v>
      </c>
      <c r="C31" s="52">
        <f>IF(C11=0,0,C29/C11/'🏢 Acquisition'!C10)</f>
        <v>0.18945345160789562</v>
      </c>
      <c r="D31" s="22" t="s">
        <v>222</v>
      </c>
    </row>
    <row r="32" spans="2:4" ht="21.75" customHeight="1" x14ac:dyDescent="0.35">
      <c r="B32" s="50" t="s">
        <v>223</v>
      </c>
      <c r="C32" s="51"/>
      <c r="D32" s="51"/>
    </row>
    <row r="33" spans="2:4" ht="21.75" customHeight="1" x14ac:dyDescent="0.35">
      <c r="B33" s="8" t="s">
        <v>224</v>
      </c>
      <c r="C33" s="54">
        <f>'🏢 Acquisition'!C16/'📈 Operating History'!C15</f>
        <v>15.179951424155442</v>
      </c>
      <c r="D33" s="22" t="s">
        <v>225</v>
      </c>
    </row>
    <row r="34" spans="2:4" ht="21.75" customHeight="1" x14ac:dyDescent="0.35">
      <c r="B34" s="10" t="s">
        <v>226</v>
      </c>
      <c r="C34" s="54">
        <f>C5/'📈 Operating History'!F15</f>
        <v>13.872457889696355</v>
      </c>
      <c r="D34" s="23" t="s">
        <v>227</v>
      </c>
    </row>
    <row r="35" spans="2:4" ht="21.75" customHeight="1" x14ac:dyDescent="0.35">
      <c r="B35" s="8" t="s">
        <v>228</v>
      </c>
      <c r="C35" s="53">
        <f>'🏢 Acquisition'!C16/14</f>
        <v>117857.14285714286</v>
      </c>
      <c r="D35" s="22" t="s">
        <v>229</v>
      </c>
    </row>
    <row r="36" spans="2:4" ht="21.75" customHeight="1" x14ac:dyDescent="0.35">
      <c r="B36" s="10" t="s">
        <v>230</v>
      </c>
      <c r="C36" s="53">
        <f>C5/14</f>
        <v>140714.28571428571</v>
      </c>
      <c r="D36" s="23" t="s">
        <v>231</v>
      </c>
    </row>
    <row r="39" spans="2:4" ht="24" customHeight="1" x14ac:dyDescent="0.35">
      <c r="B39" s="61" t="s">
        <v>232</v>
      </c>
      <c r="C39" s="61"/>
      <c r="D39" s="61"/>
    </row>
    <row r="40" spans="2:4" ht="21.75" customHeight="1" x14ac:dyDescent="0.35">
      <c r="B40" s="20" t="s">
        <v>233</v>
      </c>
      <c r="C40" s="2" t="s">
        <v>234</v>
      </c>
      <c r="D40" s="20" t="s">
        <v>27</v>
      </c>
    </row>
    <row r="41" spans="2:4" ht="19.5" customHeight="1" x14ac:dyDescent="0.35">
      <c r="B41" s="8" t="s">
        <v>235</v>
      </c>
      <c r="C41" s="4">
        <f>-'🏢 Acquisition'!C39</f>
        <v>-472762</v>
      </c>
      <c r="D41" s="22" t="s">
        <v>236</v>
      </c>
    </row>
    <row r="42" spans="2:4" ht="19.5" customHeight="1" x14ac:dyDescent="0.35">
      <c r="B42" s="10" t="s">
        <v>237</v>
      </c>
      <c r="C42" s="6">
        <f>'📈 Operating History'!C33</f>
        <v>-7373.8053689774897</v>
      </c>
      <c r="D42" s="23" t="s">
        <v>238</v>
      </c>
    </row>
    <row r="43" spans="2:4" ht="19.5" customHeight="1" x14ac:dyDescent="0.35">
      <c r="B43" s="8" t="s">
        <v>239</v>
      </c>
      <c r="C43" s="4">
        <f>'📈 Operating History'!D33</f>
        <v>-8615.0738253033196</v>
      </c>
      <c r="D43" s="22" t="s">
        <v>240</v>
      </c>
    </row>
    <row r="44" spans="2:4" ht="19.5" customHeight="1" x14ac:dyDescent="0.35">
      <c r="B44" s="10" t="s">
        <v>241</v>
      </c>
      <c r="C44" s="6">
        <f>'📈 Operating History'!E33</f>
        <v>-20066.07382530332</v>
      </c>
      <c r="D44" s="23" t="s">
        <v>240</v>
      </c>
    </row>
    <row r="45" spans="2:4" ht="19.5" customHeight="1" x14ac:dyDescent="0.35">
      <c r="B45" s="8" t="s">
        <v>242</v>
      </c>
      <c r="C45" s="4">
        <f>'📈 Operating History'!F33</f>
        <v>-4290.0738253033196</v>
      </c>
      <c r="D45" s="22" t="s">
        <v>240</v>
      </c>
    </row>
    <row r="46" spans="2:4" ht="19.5" customHeight="1" x14ac:dyDescent="0.35">
      <c r="B46" s="10" t="s">
        <v>243</v>
      </c>
      <c r="C46" s="6">
        <f>'📈 Operating History'!G33</f>
        <v>1886.7315436741701</v>
      </c>
      <c r="D46" s="23" t="s">
        <v>244</v>
      </c>
    </row>
    <row r="47" spans="2:4" ht="19.5" customHeight="1" x14ac:dyDescent="0.35">
      <c r="B47" s="8" t="s">
        <v>245</v>
      </c>
      <c r="C47" s="4">
        <f>C10</f>
        <v>683560</v>
      </c>
      <c r="D47" s="22" t="s">
        <v>246</v>
      </c>
    </row>
    <row r="49" spans="2:3" ht="25.5" customHeight="1" x14ac:dyDescent="0.35">
      <c r="B49" s="31" t="s">
        <v>247</v>
      </c>
      <c r="C49" s="55">
        <f>IRR(C41:C47)</f>
        <v>5.1096377731797205E-2</v>
      </c>
    </row>
  </sheetData>
  <sheetProtection algorithmName="SHA-512" hashValue="IddwobcQmeve2eMgLp+P6R7Au2im0EoUw0rHr7j9k9IVH+Dr3ZVbcjtSF7YcW8cZQq8ngegK9ihOzI9wOr7r3g==" saltValue="i2SAOo5wqEfZmJ2q9+Kc+Q==" spinCount="100000" sheet="1" objects="1" scenarios="1"/>
  <mergeCells count="5">
    <mergeCell ref="B1:D1"/>
    <mergeCell ref="B2:D2"/>
    <mergeCell ref="B4:D4"/>
    <mergeCell ref="B13:D13"/>
    <mergeCell ref="B39:D3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A7A7A"/>
  </sheetPr>
  <dimension ref="B1:C23"/>
  <sheetViews>
    <sheetView showGridLines="0" tabSelected="1" zoomScaleNormal="100" workbookViewId="0"/>
  </sheetViews>
  <sheetFormatPr defaultColWidth="8.6328125" defaultRowHeight="14.5" x14ac:dyDescent="0.35"/>
  <cols>
    <col min="1" max="1" width="2" customWidth="1"/>
    <col min="2" max="2" width="28" customWidth="1"/>
    <col min="3" max="3" width="54" customWidth="1"/>
    <col min="4" max="4" width="2" customWidth="1"/>
  </cols>
  <sheetData>
    <row r="1" spans="2:3" ht="43.5" customHeight="1" x14ac:dyDescent="0.35">
      <c r="B1" s="81" t="s">
        <v>248</v>
      </c>
      <c r="C1" s="81"/>
    </row>
    <row r="2" spans="2:3" ht="21.75" customHeight="1" x14ac:dyDescent="0.35">
      <c r="B2" s="82" t="s">
        <v>249</v>
      </c>
      <c r="C2" s="82"/>
    </row>
    <row r="4" spans="2:3" ht="24" customHeight="1" x14ac:dyDescent="0.35">
      <c r="B4" s="50" t="s">
        <v>250</v>
      </c>
      <c r="C4" s="56"/>
    </row>
    <row r="5" spans="2:3" ht="19.5" customHeight="1" x14ac:dyDescent="0.35">
      <c r="B5" s="5" t="s">
        <v>251</v>
      </c>
      <c r="C5" s="8" t="s">
        <v>252</v>
      </c>
    </row>
    <row r="6" spans="2:3" ht="19.5" customHeight="1" x14ac:dyDescent="0.35">
      <c r="B6" s="3" t="s">
        <v>253</v>
      </c>
      <c r="C6" s="8" t="s">
        <v>254</v>
      </c>
    </row>
    <row r="7" spans="2:3" ht="19.5" customHeight="1" x14ac:dyDescent="0.35">
      <c r="B7" s="5" t="s">
        <v>255</v>
      </c>
      <c r="C7" s="8" t="s">
        <v>256</v>
      </c>
    </row>
    <row r="8" spans="2:3" ht="19.5" customHeight="1" x14ac:dyDescent="0.35">
      <c r="B8" s="3" t="s">
        <v>257</v>
      </c>
      <c r="C8" s="8" t="s">
        <v>258</v>
      </c>
    </row>
    <row r="9" spans="2:3" ht="19.5" customHeight="1" x14ac:dyDescent="0.35">
      <c r="B9" s="5" t="s">
        <v>259</v>
      </c>
      <c r="C9" s="8" t="s">
        <v>260</v>
      </c>
    </row>
    <row r="10" spans="2:3" ht="19.5" customHeight="1" x14ac:dyDescent="0.35">
      <c r="B10" s="57"/>
      <c r="C10" s="57"/>
    </row>
    <row r="11" spans="2:3" ht="24" customHeight="1" x14ac:dyDescent="0.35">
      <c r="B11" s="50" t="s">
        <v>261</v>
      </c>
      <c r="C11" s="56"/>
    </row>
    <row r="12" spans="2:3" ht="19.5" customHeight="1" x14ac:dyDescent="0.35">
      <c r="B12" s="3" t="s">
        <v>262</v>
      </c>
      <c r="C12" s="8" t="s">
        <v>263</v>
      </c>
    </row>
    <row r="13" spans="2:3" ht="19.5" customHeight="1" x14ac:dyDescent="0.35">
      <c r="B13" s="5" t="s">
        <v>264</v>
      </c>
      <c r="C13" s="8" t="s">
        <v>265</v>
      </c>
    </row>
    <row r="14" spans="2:3" ht="19.5" customHeight="1" x14ac:dyDescent="0.35">
      <c r="B14" s="3" t="s">
        <v>266</v>
      </c>
      <c r="C14" s="8" t="s">
        <v>267</v>
      </c>
    </row>
    <row r="15" spans="2:3" ht="19.5" customHeight="1" x14ac:dyDescent="0.35">
      <c r="B15" s="57"/>
      <c r="C15" s="57"/>
    </row>
    <row r="16" spans="2:3" ht="24" customHeight="1" x14ac:dyDescent="0.35">
      <c r="B16" s="50" t="s">
        <v>268</v>
      </c>
      <c r="C16" s="56"/>
    </row>
    <row r="17" spans="2:3" ht="19.5" customHeight="1" x14ac:dyDescent="0.35">
      <c r="B17" s="5" t="s">
        <v>269</v>
      </c>
      <c r="C17" s="8" t="s">
        <v>270</v>
      </c>
    </row>
    <row r="18" spans="2:3" ht="19.5" customHeight="1" x14ac:dyDescent="0.35">
      <c r="B18" s="3" t="s">
        <v>271</v>
      </c>
      <c r="C18" s="8" t="s">
        <v>272</v>
      </c>
    </row>
    <row r="19" spans="2:3" ht="19.5" customHeight="1" x14ac:dyDescent="0.35">
      <c r="B19" s="5" t="s">
        <v>273</v>
      </c>
      <c r="C19" s="8" t="s">
        <v>274</v>
      </c>
    </row>
    <row r="20" spans="2:3" ht="19.5" customHeight="1" x14ac:dyDescent="0.35">
      <c r="B20" s="3" t="s">
        <v>32</v>
      </c>
      <c r="C20" s="8" t="s">
        <v>275</v>
      </c>
    </row>
    <row r="21" spans="2:3" ht="19.5" customHeight="1" x14ac:dyDescent="0.35">
      <c r="B21" s="5" t="s">
        <v>276</v>
      </c>
      <c r="C21" s="8" t="s">
        <v>277</v>
      </c>
    </row>
    <row r="22" spans="2:3" ht="19.5" customHeight="1" x14ac:dyDescent="0.35">
      <c r="B22" s="3" t="s">
        <v>278</v>
      </c>
      <c r="C22" s="8" t="s">
        <v>279</v>
      </c>
    </row>
    <row r="23" spans="2:3" ht="19.5" customHeight="1" x14ac:dyDescent="0.35">
      <c r="B23" s="5" t="s">
        <v>280</v>
      </c>
      <c r="C23" s="8" t="s">
        <v>281</v>
      </c>
    </row>
  </sheetData>
  <sheetProtection algorithmName="SHA-512" hashValue="0pIA5PTE6y/nR5AEtLnsdUsYliXTABFKLruNsqh4roJPfPDabWl7NCfNhpAJl6qakbWt7IkTLme0GLdWUTLhtw==" saltValue="2ySBJ2w+qvARnr/Hk8Hurw==" spinCount="100000" sheet="1" objects="1" scenarios="1"/>
  <mergeCells count="2">
    <mergeCell ref="B1:C1"/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Dashboard</vt:lpstr>
      <vt:lpstr>🏢 Acquisition</vt:lpstr>
      <vt:lpstr>📈 Operating History</vt:lpstr>
      <vt:lpstr>🏦 Bank Reconciliation</vt:lpstr>
      <vt:lpstr>💰 Return Analysis</vt:lpstr>
      <vt:lpstr>📋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Quanthaven</dc:creator>
  <dc:description/>
  <cp:lastModifiedBy>Haven Chavous</cp:lastModifiedBy>
  <cp:revision>0</cp:revision>
  <dcterms:created xsi:type="dcterms:W3CDTF">2026-03-20T11:41:06Z</dcterms:created>
  <dcterms:modified xsi:type="dcterms:W3CDTF">2026-03-20T11:48:56Z</dcterms:modified>
  <dc:language>en-US</dc:language>
</cp:coreProperties>
</file>