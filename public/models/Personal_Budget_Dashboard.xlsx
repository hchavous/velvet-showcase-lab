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a5e2a0c6f7417474/Desktop/Upwork/03.20.2026/"/>
    </mc:Choice>
  </mc:AlternateContent>
  <xr:revisionPtr revIDLastSave="6" documentId="8_{91522886-33EA-4D92-8001-43A84DF8E757}" xr6:coauthVersionLast="47" xr6:coauthVersionMax="47" xr10:uidLastSave="{B7AF8332-AF9B-41C4-AF38-F1ACF98B2CE5}"/>
  <bookViews>
    <workbookView xWindow="-110" yWindow="-110" windowWidth="25820" windowHeight="15500" tabRatio="500" firstSheet="1" activeTab="5" xr2:uid="{00000000-000D-0000-FFFF-FFFF00000000}"/>
  </bookViews>
  <sheets>
    <sheet name="📋 Instructions" sheetId="6" r:id="rId1"/>
    <sheet name="📊 Dashboard" sheetId="1" r:id="rId2"/>
    <sheet name="📥 Income" sheetId="2" r:id="rId3"/>
    <sheet name="💸 Expenses" sheetId="3" r:id="rId4"/>
    <sheet name="💰 Goals" sheetId="4" r:id="rId5"/>
    <sheet name="📊 Budget vs Actual" sheetId="5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9" i="5" l="1"/>
  <c r="C19" i="5"/>
  <c r="E19" i="5" s="1"/>
  <c r="F19" i="5" s="1"/>
  <c r="D17" i="5"/>
  <c r="D14" i="5"/>
  <c r="C14" i="5"/>
  <c r="C10" i="5"/>
  <c r="C9" i="5"/>
  <c r="C8" i="5"/>
  <c r="C7" i="5"/>
  <c r="C6" i="5"/>
  <c r="C5" i="5"/>
  <c r="E21" i="4"/>
  <c r="D21" i="4"/>
  <c r="C21" i="4"/>
  <c r="F20" i="4"/>
  <c r="F19" i="4"/>
  <c r="F18" i="4"/>
  <c r="F17" i="4"/>
  <c r="F16" i="4"/>
  <c r="F15" i="4"/>
  <c r="G11" i="4"/>
  <c r="E11" i="4"/>
  <c r="D11" i="4"/>
  <c r="C11" i="4"/>
  <c r="G10" i="4"/>
  <c r="H10" i="4" s="1"/>
  <c r="G9" i="4"/>
  <c r="H9" i="4" s="1"/>
  <c r="G8" i="4"/>
  <c r="H8" i="4" s="1"/>
  <c r="G7" i="4"/>
  <c r="H7" i="4" s="1"/>
  <c r="G6" i="4"/>
  <c r="H6" i="4" s="1"/>
  <c r="H5" i="4"/>
  <c r="G5" i="4"/>
  <c r="Q29" i="3"/>
  <c r="N29" i="3"/>
  <c r="D24" i="1" s="1"/>
  <c r="M29" i="3"/>
  <c r="D23" i="1" s="1"/>
  <c r="L29" i="3"/>
  <c r="K29" i="3"/>
  <c r="J29" i="3"/>
  <c r="D20" i="1" s="1"/>
  <c r="I29" i="3"/>
  <c r="H29" i="3"/>
  <c r="D18" i="1" s="1"/>
  <c r="E18" i="1" s="1"/>
  <c r="G29" i="3"/>
  <c r="F29" i="3"/>
  <c r="E29" i="3"/>
  <c r="D29" i="3"/>
  <c r="C29" i="3"/>
  <c r="O28" i="3"/>
  <c r="O27" i="3"/>
  <c r="O26" i="3"/>
  <c r="O25" i="3"/>
  <c r="O24" i="3"/>
  <c r="D9" i="5" s="1"/>
  <c r="E9" i="5" s="1"/>
  <c r="F9" i="5" s="1"/>
  <c r="O22" i="3"/>
  <c r="O21" i="3"/>
  <c r="D8" i="5" s="1"/>
  <c r="E8" i="5" s="1"/>
  <c r="F8" i="5" s="1"/>
  <c r="O20" i="3"/>
  <c r="O18" i="3"/>
  <c r="O17" i="3"/>
  <c r="O16" i="3"/>
  <c r="O15" i="3"/>
  <c r="D7" i="5" s="1"/>
  <c r="O13" i="3"/>
  <c r="O12" i="3"/>
  <c r="O11" i="3"/>
  <c r="D6" i="5" s="1"/>
  <c r="O9" i="3"/>
  <c r="O8" i="3"/>
  <c r="O7" i="3"/>
  <c r="O6" i="3"/>
  <c r="O29" i="3" s="1"/>
  <c r="N11" i="2"/>
  <c r="M11" i="2"/>
  <c r="C23" i="1" s="1"/>
  <c r="L11" i="2"/>
  <c r="C22" i="1" s="1"/>
  <c r="K11" i="2"/>
  <c r="C21" i="1" s="1"/>
  <c r="J11" i="2"/>
  <c r="I11" i="2"/>
  <c r="H11" i="2"/>
  <c r="G11" i="2"/>
  <c r="F11" i="2"/>
  <c r="E11" i="2"/>
  <c r="D11" i="2"/>
  <c r="C14" i="1" s="1"/>
  <c r="C11" i="2"/>
  <c r="C13" i="1" s="1"/>
  <c r="P10" i="2"/>
  <c r="O10" i="2"/>
  <c r="P9" i="2"/>
  <c r="O9" i="2"/>
  <c r="D18" i="5" s="1"/>
  <c r="P8" i="2"/>
  <c r="O8" i="2"/>
  <c r="C17" i="5" s="1"/>
  <c r="P7" i="2"/>
  <c r="O7" i="2"/>
  <c r="D16" i="5" s="1"/>
  <c r="P6" i="2"/>
  <c r="O6" i="2"/>
  <c r="C15" i="5" s="1"/>
  <c r="P5" i="2"/>
  <c r="O5" i="2"/>
  <c r="O11" i="2" s="1"/>
  <c r="L24" i="1"/>
  <c r="K24" i="1"/>
  <c r="J24" i="1"/>
  <c r="I24" i="1"/>
  <c r="H24" i="1"/>
  <c r="C24" i="1"/>
  <c r="E24" i="1" s="1"/>
  <c r="L23" i="1"/>
  <c r="K23" i="1"/>
  <c r="J23" i="1"/>
  <c r="I23" i="1"/>
  <c r="H23" i="1"/>
  <c r="L22" i="1"/>
  <c r="K22" i="1"/>
  <c r="J22" i="1"/>
  <c r="I22" i="1"/>
  <c r="H22" i="1"/>
  <c r="D22" i="1"/>
  <c r="L21" i="1"/>
  <c r="K21" i="1"/>
  <c r="J21" i="1"/>
  <c r="I21" i="1"/>
  <c r="H21" i="1"/>
  <c r="D21" i="1"/>
  <c r="L20" i="1"/>
  <c r="K20" i="1"/>
  <c r="J20" i="1"/>
  <c r="I20" i="1"/>
  <c r="H20" i="1"/>
  <c r="C20" i="1"/>
  <c r="E20" i="1" s="1"/>
  <c r="L19" i="1"/>
  <c r="K19" i="1"/>
  <c r="J19" i="1"/>
  <c r="I19" i="1"/>
  <c r="H19" i="1"/>
  <c r="D19" i="1"/>
  <c r="C19" i="1"/>
  <c r="E19" i="1" s="1"/>
  <c r="L18" i="1"/>
  <c r="K18" i="1"/>
  <c r="J18" i="1"/>
  <c r="I18" i="1"/>
  <c r="H18" i="1"/>
  <c r="C18" i="1"/>
  <c r="L17" i="1"/>
  <c r="K17" i="1"/>
  <c r="J17" i="1"/>
  <c r="I17" i="1"/>
  <c r="H17" i="1"/>
  <c r="D17" i="1"/>
  <c r="C17" i="1"/>
  <c r="L16" i="1"/>
  <c r="K16" i="1"/>
  <c r="J16" i="1"/>
  <c r="I16" i="1"/>
  <c r="H16" i="1"/>
  <c r="D16" i="1"/>
  <c r="C16" i="1"/>
  <c r="L15" i="1"/>
  <c r="K15" i="1"/>
  <c r="J15" i="1"/>
  <c r="I15" i="1"/>
  <c r="H15" i="1"/>
  <c r="D15" i="1"/>
  <c r="C15" i="1"/>
  <c r="E15" i="1" s="1"/>
  <c r="L14" i="1"/>
  <c r="K14" i="1"/>
  <c r="J14" i="1"/>
  <c r="I14" i="1"/>
  <c r="H14" i="1"/>
  <c r="D14" i="1"/>
  <c r="L13" i="1"/>
  <c r="L25" i="1" s="1"/>
  <c r="K13" i="1"/>
  <c r="K25" i="1" s="1"/>
  <c r="J13" i="1"/>
  <c r="J25" i="1" s="1"/>
  <c r="I13" i="1"/>
  <c r="I25" i="1" s="1"/>
  <c r="H13" i="1"/>
  <c r="H25" i="1" s="1"/>
  <c r="D13" i="1"/>
  <c r="D25" i="1" s="1"/>
  <c r="D7" i="1" s="1"/>
  <c r="E17" i="5" l="1"/>
  <c r="F17" i="5" s="1"/>
  <c r="E21" i="1"/>
  <c r="F21" i="1"/>
  <c r="E23" i="1"/>
  <c r="F23" i="1" s="1"/>
  <c r="E15" i="5"/>
  <c r="F15" i="5" s="1"/>
  <c r="F6" i="5"/>
  <c r="F14" i="5"/>
  <c r="F16" i="1"/>
  <c r="F17" i="1"/>
  <c r="C25" i="1"/>
  <c r="E13" i="1"/>
  <c r="F13" i="1" s="1"/>
  <c r="E22" i="1"/>
  <c r="F22" i="1" s="1"/>
  <c r="P22" i="3"/>
  <c r="P20" i="3"/>
  <c r="P18" i="3"/>
  <c r="P17" i="3"/>
  <c r="P16" i="3"/>
  <c r="P11" i="3"/>
  <c r="P8" i="3"/>
  <c r="P21" i="3"/>
  <c r="P15" i="3"/>
  <c r="P13" i="3"/>
  <c r="P27" i="3"/>
  <c r="P26" i="3"/>
  <c r="P25" i="3"/>
  <c r="P24" i="3"/>
  <c r="P7" i="3"/>
  <c r="P6" i="3"/>
  <c r="P28" i="3"/>
  <c r="P12" i="3"/>
  <c r="P9" i="3"/>
  <c r="F18" i="1"/>
  <c r="E7" i="5"/>
  <c r="F7" i="5" s="1"/>
  <c r="E14" i="1"/>
  <c r="F14" i="1" s="1"/>
  <c r="F24" i="1"/>
  <c r="D5" i="5"/>
  <c r="D10" i="5" s="1"/>
  <c r="E10" i="5" s="1"/>
  <c r="C16" i="5"/>
  <c r="F19" i="1"/>
  <c r="E17" i="1"/>
  <c r="D15" i="5"/>
  <c r="D20" i="5" s="1"/>
  <c r="F15" i="1"/>
  <c r="F20" i="1"/>
  <c r="E14" i="5"/>
  <c r="E6" i="5"/>
  <c r="E16" i="1"/>
  <c r="C18" i="5"/>
  <c r="N5" i="5" l="1"/>
  <c r="J7" i="1" s="1"/>
  <c r="F10" i="5"/>
  <c r="E5" i="5"/>
  <c r="F5" i="5" s="1"/>
  <c r="E16" i="5"/>
  <c r="F16" i="5" s="1"/>
  <c r="B7" i="1"/>
  <c r="E18" i="5"/>
  <c r="F18" i="5" s="1"/>
  <c r="G13" i="1"/>
  <c r="G14" i="1" s="1"/>
  <c r="G15" i="1" s="1"/>
  <c r="G16" i="1" s="1"/>
  <c r="G17" i="1" s="1"/>
  <c r="G18" i="1" s="1"/>
  <c r="G19" i="1" s="1"/>
  <c r="G20" i="1" s="1"/>
  <c r="G21" i="1" s="1"/>
  <c r="G22" i="1" s="1"/>
  <c r="G23" i="1" s="1"/>
  <c r="G24" i="1" s="1"/>
  <c r="G25" i="1" s="1"/>
  <c r="E25" i="1"/>
  <c r="F7" i="1" s="1"/>
  <c r="C20" i="5"/>
  <c r="E20" i="5"/>
  <c r="E22" i="5" s="1"/>
  <c r="D22" i="5"/>
  <c r="C22" i="5" l="1"/>
  <c r="F22" i="5" s="1"/>
  <c r="F20" i="5"/>
  <c r="H7" i="1"/>
  <c r="F25" i="1"/>
</calcChain>
</file>

<file path=xl/sharedStrings.xml><?xml version="1.0" encoding="utf-8"?>
<sst xmlns="http://schemas.openxmlformats.org/spreadsheetml/2006/main" count="207" uniqueCount="160">
  <si>
    <t>PERSONAL BUDGET DASHBOARD</t>
  </si>
  <si>
    <t>Fiscal Year 2025  |  Real-Time Financial Snapshot</t>
  </si>
  <si>
    <t>TOTAL INCOME</t>
  </si>
  <si>
    <t>TOTAL EXPENSES</t>
  </si>
  <si>
    <t>NET SAVINGS</t>
  </si>
  <si>
    <t>SAVINGS RATE</t>
  </si>
  <si>
    <t>BUDGET VARIANCE</t>
  </si>
  <si>
    <t xml:space="preserve">  📅  MONTHLY SUMMARY</t>
  </si>
  <si>
    <t>Month</t>
  </si>
  <si>
    <t>Income</t>
  </si>
  <si>
    <t>Expenses</t>
  </si>
  <si>
    <t>Net Savings</t>
  </si>
  <si>
    <t>Savings Rate</t>
  </si>
  <si>
    <t>Cumul. Savings</t>
  </si>
  <si>
    <t>Housing</t>
  </si>
  <si>
    <t>Food</t>
  </si>
  <si>
    <t>Transport</t>
  </si>
  <si>
    <t>Health</t>
  </si>
  <si>
    <t>Other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</si>
  <si>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</si>
  <si>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</si>
  <si>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</si>
  <si>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</si>
  <si>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</si>
  <si>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</si>
  <si>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</si>
  <si>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</si>
  <si>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</si>
  <si>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</si>
  <si>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</si>
  <si>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</si>
  <si>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</si>
  <si>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 xml:space="preserve">  📈  VISUAL ANALYTICS</t>
  </si>
  <si>
    <t>📥  INCOME TRACKER</t>
  </si>
  <si>
    <t>Enter all income sources below. Blue cells = inputs. Totals calculate automatically.</t>
  </si>
  <si>
    <t>Income Source</t>
  </si>
  <si>
    <t>Annual Total</t>
  </si>
  <si>
    <t>% of Total</t>
  </si>
  <si>
    <t>Primary Salary</t>
  </si>
  <si>
    <t>Bonus / Commission</t>
  </si>
  <si>
    <t>Freelance / Side Gig</t>
  </si>
  <si>
    <t>Investment Income</t>
  </si>
  <si>
    <t>Rental Income</t>
  </si>
  <si>
    <t>Other Income</t>
  </si>
  <si>
    <t>100.0%</t>
  </si>
  <si>
    <t>💸  EXPENSE TRACKER</t>
  </si>
  <si>
    <t>Track all monthly expenses by category. Blue = inputs. Column Q = annual budget for variance analysis.</t>
  </si>
  <si>
    <t>Category</t>
  </si>
  <si>
    <t>Annual Budget</t>
  </si>
  <si>
    <t>── HOUSING ──</t>
  </si>
  <si>
    <t>Rent / Mortgage</t>
  </si>
  <si>
    <t>Utilities</t>
  </si>
  <si>
    <t>Internet / Cable</t>
  </si>
  <si>
    <t>Insurance (Home)</t>
  </si>
  <si>
    <t>── FOOD ──</t>
  </si>
  <si>
    <t>Groceries</t>
  </si>
  <si>
    <t>Dining Out</t>
  </si>
  <si>
    <t>Coffee / Snacks</t>
  </si>
  <si>
    <t>── TRANSPORTATION ──</t>
  </si>
  <si>
    <t>Car Payment</t>
  </si>
  <si>
    <t>Gas</t>
  </si>
  <si>
    <t>Insurance (Auto)</t>
  </si>
  <si>
    <t>Public Transit</t>
  </si>
  <si>
    <t>── HEALTH ──</t>
  </si>
  <si>
    <t>Health Insurance</t>
  </si>
  <si>
    <t>Gym / Fitness</t>
  </si>
  <si>
    <t>Medical / Dental</t>
  </si>
  <si>
    <t>── LIFESTYLE &amp; OTHER ──</t>
  </si>
  <si>
    <t>Entertainment</t>
  </si>
  <si>
    <t>Clothing</t>
  </si>
  <si>
    <t>Personal Care</t>
  </si>
  <si>
    <t>Subscriptions</t>
  </si>
  <si>
    <t>Miscellaneous</t>
  </si>
  <si>
    <t>💰  SAVINGS &amp; FINANCIAL GOALS</t>
  </si>
  <si>
    <t xml:space="preserve">  FINANCIAL GOALS TRACKER</t>
  </si>
  <si>
    <t>Goal Name</t>
  </si>
  <si>
    <t>Target Amount</t>
  </si>
  <si>
    <t>Current Saved</t>
  </si>
  <si>
    <t>Monthly Contribution</t>
  </si>
  <si>
    <t>Target Date</t>
  </si>
  <si>
    <t>% Complete</t>
  </si>
  <si>
    <t>Status</t>
  </si>
  <si>
    <t>Emergency Fund</t>
  </si>
  <si>
    <t>Dec-2025</t>
  </si>
  <si>
    <t>Vacation / Travel</t>
  </si>
  <si>
    <t>Jun-2025</t>
  </si>
  <si>
    <t>New Car</t>
  </si>
  <si>
    <t>Mar-2026</t>
  </si>
  <si>
    <t>Home Down Payment</t>
  </si>
  <si>
    <t>Dec-2027</t>
  </si>
  <si>
    <t>Retirement (IRA)</t>
  </si>
  <si>
    <t>Education / Cert.</t>
  </si>
  <si>
    <t>Sep-2025</t>
  </si>
  <si>
    <t>TOTAL GOALS</t>
  </si>
  <si>
    <t xml:space="preserve">  MONTHLY SAVINGS ALLOCATION</t>
  </si>
  <si>
    <t>Account / Fund</t>
  </si>
  <si>
    <t>Monthly Deposit</t>
  </si>
  <si>
    <t>Current Balance</t>
  </si>
  <si>
    <t>Annual Target</t>
  </si>
  <si>
    <t>YTD Progress</t>
  </si>
  <si>
    <t>Notes</t>
  </si>
  <si>
    <t>High priority</t>
  </si>
  <si>
    <t>Roth IRA</t>
  </si>
  <si>
    <t>Max contribution</t>
  </si>
  <si>
    <t>401(k) / Retirement</t>
  </si>
  <si>
    <t>Employer match 4%</t>
  </si>
  <si>
    <t>Brokerage / Invest.</t>
  </si>
  <si>
    <t>Index funds</t>
  </si>
  <si>
    <t>Vacation Fund</t>
  </si>
  <si>
    <t>Trip in June</t>
  </si>
  <si>
    <t>Sinking Fund</t>
  </si>
  <si>
    <t>Car repair / irregular</t>
  </si>
  <si>
    <t>TOTAL MONTHLY SAVINGS</t>
  </si>
  <si>
    <t>📊  BUDGET vs. ACTUAL ANALYSIS</t>
  </si>
  <si>
    <t>Annual budget set on the Expenses sheet. Variance = Budget – Actual. Positive = under budget.</t>
  </si>
  <si>
    <t>YTD Actual</t>
  </si>
  <si>
    <t>Variance ($)</t>
  </si>
  <si>
    <t>Variance (%)</t>
  </si>
  <si>
    <t>Transportation</t>
  </si>
  <si>
    <t>Lifestyle/Other</t>
  </si>
  <si>
    <t xml:space="preserve">  INCOME: BUDGET vs ACTUAL</t>
  </si>
  <si>
    <t>Freelance</t>
  </si>
  <si>
    <t>NET (Income – Expenses)</t>
  </si>
  <si>
    <t>📋  HOW TO USE THIS DASHBOARD</t>
  </si>
  <si>
    <t>COLOR CODING</t>
  </si>
  <si>
    <t>Blue text</t>
  </si>
  <si>
    <t>Input cells — enter or update your data here</t>
  </si>
  <si>
    <t>Black text</t>
  </si>
  <si>
    <t>Calculated formulas — do not overwrite</t>
  </si>
  <si>
    <t>Green text</t>
  </si>
  <si>
    <t>Cross-sheet links pulling from other tabs</t>
  </si>
  <si>
    <t>NAVIGATION</t>
  </si>
  <si>
    <t>📊 Dashboard</t>
  </si>
  <si>
    <t>Master summary view — all KPIs, monthly table. Start here.</t>
  </si>
  <si>
    <t>📥 Income</t>
  </si>
  <si>
    <t>Enter all income sources by month. Add rows as needed.</t>
  </si>
  <si>
    <t>💸 Expenses</t>
  </si>
  <si>
    <t>Enter all monthly expenses by category. Column Q = annual budget.</t>
  </si>
  <si>
    <t>💰 Goals</t>
  </si>
  <si>
    <t>Track savings goals, target amounts, and monthly allocations.</t>
  </si>
  <si>
    <t>📊 Budget vs Actual</t>
  </si>
  <si>
    <t>Automatic variance analysis — no inputs needed.</t>
  </si>
  <si>
    <t>WORKFLOW</t>
  </si>
  <si>
    <t>Step 1</t>
  </si>
  <si>
    <t>Go to 📥 Income — enter your monthly income by source (blue cells)</t>
  </si>
  <si>
    <t>Step 2</t>
  </si>
  <si>
    <t>Go to 💸 Expenses — enter monthly spending. Set annual budgets in column Q.</t>
  </si>
  <si>
    <t>Step 3</t>
  </si>
  <si>
    <t>Go to 💰 Goals — enter your financial goals and savings allocations.</t>
  </si>
  <si>
    <t>Step 4</t>
  </si>
  <si>
    <t>Return to 📊 Dashboard — all charts and KPIs update automatically.</t>
  </si>
  <si>
    <t>Step 5</t>
  </si>
  <si>
    <t>Review 📊 Budget vs Actual to see where you stand against targets.</t>
  </si>
  <si>
    <t>TIPS</t>
  </si>
  <si>
    <t>Do not delete rows</t>
  </si>
  <si>
    <t>Add new rows above the TOTAL rows to preserve formulas</t>
  </si>
  <si>
    <t>Monthly updates</t>
  </si>
  <si>
    <t>Update expense actuals at month-end; income posts when received</t>
  </si>
  <si>
    <t>Budget column</t>
  </si>
  <si>
    <t>Column Q on Expenses tab = annual budget; divide by 12 for monthly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</si>
</sst>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_);[Red]&quot;($&quot;#,##0\);\-"/>
    <numFmt numFmtId="165" formatCode="0.0%"/>
  </numFmts>
  <fonts count="26" x14ac:knownFonts="1">
    <font>
      <sz val="11"/>
      <color theme="1"/>
      <name val="Calibri"/>
      <family val="2"/>
      <charset val="1"/>
    </font>
    <font>
      <b/>
      <sz val="20"/>
      <color rgb="FFFFFFFF"/>
      <name val="Calibri"/>
      <charset val="1"/>
    </font>
    <font>
      <i/>
      <sz val="11"/>
      <color rgb="FFFFFFFF"/>
      <name val="Calibri"/>
      <charset val="1"/>
    </font>
    <font>
      <b/>
      <sz val="8"/>
      <color rgb="FF8C8C8C"/>
      <name val="Calibri"/>
      <charset val="1"/>
    </font>
    <font>
      <b/>
      <sz val="18"/>
      <color rgb="FF000000"/>
      <name val="Calibri"/>
      <charset val="1"/>
    </font>
    <font>
      <b/>
      <sz val="18"/>
      <color rgb="FFC0392B"/>
      <name val="Calibri"/>
      <charset val="1"/>
    </font>
    <font>
      <b/>
      <sz val="18"/>
      <color rgb="FF2D7D46"/>
      <name val="Calibri"/>
      <charset val="1"/>
    </font>
    <font>
      <b/>
      <sz val="18"/>
      <color rgb="FFC9A84C"/>
      <name val="Calibri"/>
      <charset val="1"/>
    </font>
    <font>
      <b/>
      <sz val="18"/>
      <color rgb="FFE67E22"/>
      <name val="Calibri"/>
      <charset val="1"/>
    </font>
    <font>
      <b/>
      <sz val="12"/>
      <color rgb="FFFFFFFF"/>
      <name val="Calibri"/>
      <charset val="1"/>
    </font>
    <font>
      <b/>
      <sz val="9"/>
      <color rgb="FFFFFFFF"/>
      <name val="Calibri"/>
      <charset val="1"/>
    </font>
    <font>
      <b/>
      <sz val="9"/>
      <color rgb="FF1B3A5C"/>
      <name val="Calibri"/>
      <charset val="1"/>
    </font>
    <font>
      <sz val="9"/>
      <color rgb="FF000000"/>
      <name val="Calibri"/>
      <charset val="1"/>
    </font>
    <font>
      <b/>
      <sz val="16"/>
      <color rgb="FFFFFFFF"/>
      <name val="Calibri"/>
      <charset val="1"/>
    </font>
    <font>
      <i/>
      <sz val="9"/>
      <color rgb="FF4A4A4A"/>
      <name val="Calibri"/>
      <charset val="1"/>
    </font>
    <font>
      <b/>
      <sz val="10"/>
      <color rgb="FFFFFFFF"/>
      <name val="Calibri"/>
      <charset val="1"/>
    </font>
    <font>
      <sz val="10"/>
      <color rgb="FF000000"/>
      <name val="Calibri"/>
      <charset val="1"/>
    </font>
    <font>
      <sz val="11"/>
      <color rgb="FF0000FF"/>
      <name val="Calibri"/>
      <charset val="1"/>
    </font>
    <font>
      <b/>
      <sz val="11"/>
      <color rgb="FF000000"/>
      <name val="Calibri"/>
      <charset val="1"/>
    </font>
    <font>
      <sz val="11"/>
      <color rgb="FF000000"/>
      <name val="Calibri"/>
      <charset val="1"/>
    </font>
    <font>
      <b/>
      <sz val="11"/>
      <color rgb="FFFFFFFF"/>
      <name val="Calibri"/>
      <charset val="1"/>
    </font>
    <font>
      <b/>
      <sz val="9"/>
      <color rgb="FFBDC3C7"/>
      <name val="Calibri"/>
      <charset val="1"/>
    </font>
    <font>
      <b/>
      <sz val="10"/>
      <color rgb="FF000000"/>
      <name val="Calibri"/>
      <charset val="1"/>
    </font>
    <font>
      <i/>
      <sz val="9"/>
      <color rgb="FF8C8C8C"/>
      <name val="Calibri"/>
      <charset val="1"/>
    </font>
    <font>
      <b/>
      <sz val="10"/>
      <color rgb="FF1B3A5C"/>
      <name val="Calibri"/>
      <charset val="1"/>
    </font>
    <font>
      <sz val="10"/>
      <color rgb="FF4A4A4A"/>
      <name val="Calibri"/>
      <charset val="1"/>
    </font>
  </fonts>
  <fills count="17">
    <fill>
      <patternFill patternType="none"/>
    </fill>
    <fill>
      <patternFill patternType="gray125"/>
    </fill>
    <fill>
      <patternFill patternType="solid">
        <fgColor rgb="FF1B3A5C"/>
        <bgColor rgb="FF2C3E50"/>
      </patternFill>
    </fill>
    <fill>
      <patternFill patternType="solid">
        <fgColor rgb="FF0D7377"/>
        <bgColor rgb="FF2D7D46"/>
      </patternFill>
    </fill>
    <fill>
      <patternFill patternType="solid">
        <fgColor rgb="FFEAF2FB"/>
        <bgColor rgb="FFE0F4F4"/>
      </patternFill>
    </fill>
    <fill>
      <patternFill patternType="solid">
        <fgColor rgb="FFFDECEA"/>
        <bgColor rgb="FFFEF5EC"/>
      </patternFill>
    </fill>
    <fill>
      <patternFill patternType="solid">
        <fgColor rgb="FFE6F4EA"/>
        <bgColor rgb="FFE0F4F4"/>
      </patternFill>
    </fill>
    <fill>
      <patternFill patternType="solid">
        <fgColor rgb="FFFDF6E3"/>
        <bgColor rgb="FFFEF5EC"/>
      </patternFill>
    </fill>
    <fill>
      <patternFill patternType="solid">
        <fgColor rgb="FFFEF5EC"/>
        <bgColor rgb="FFFDF6E3"/>
      </patternFill>
    </fill>
    <fill>
      <patternFill patternType="solid">
        <fgColor rgb="FFFFFFFF"/>
        <bgColor rgb="FFF9F9F9"/>
      </patternFill>
    </fill>
    <fill>
      <patternFill patternType="solid">
        <fgColor rgb="FFF8F8F8"/>
        <bgColor rgb="FFF9F9F9"/>
      </patternFill>
    </fill>
    <fill>
      <patternFill patternType="solid">
        <fgColor rgb="FF2D7D46"/>
        <bgColor rgb="FF0D7377"/>
      </patternFill>
    </fill>
    <fill>
      <patternFill patternType="solid">
        <fgColor rgb="FFE0F4F4"/>
        <bgColor rgb="FFE6F4EA"/>
      </patternFill>
    </fill>
    <fill>
      <patternFill patternType="solid">
        <fgColor rgb="FFC0392B"/>
        <bgColor rgb="FFC0504D"/>
      </patternFill>
    </fill>
    <fill>
      <patternFill patternType="solid">
        <fgColor rgb="FFC9A84C"/>
        <bgColor rgb="FF9BBB59"/>
      </patternFill>
    </fill>
    <fill>
      <patternFill patternType="solid">
        <fgColor rgb="FF2C3E50"/>
        <bgColor rgb="FF1B3A5C"/>
      </patternFill>
    </fill>
    <fill>
      <patternFill patternType="solid">
        <fgColor rgb="FFE67E22"/>
        <bgColor rgb="FFFF8080"/>
      </patternFill>
    </fill>
  </fills>
  <borders count="7">
    <border>
      <left/>
      <right/>
      <top/>
      <bottom/>
      <diagonal/>
    </border>
    <border>
      <left style="thin">
        <color rgb="FF0D7377"/>
      </left>
      <right style="thin">
        <color rgb="FF0D7377"/>
      </right>
      <top style="thin">
        <color rgb="FF0D7377"/>
      </top>
      <bottom style="thin">
        <color rgb="FF0D7377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1B3A5C"/>
      </left>
      <right style="thin">
        <color rgb="FF1B3A5C"/>
      </right>
      <top style="thin">
        <color rgb="FF1B3A5C"/>
      </top>
      <bottom style="thin">
        <color rgb="FF1B3A5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9A84C"/>
      </left>
      <right style="thin">
        <color rgb="FFC9A84C"/>
      </right>
      <top style="thin">
        <color rgb="FFC9A84C"/>
      </top>
      <bottom style="thin">
        <color rgb="FFC9A84C"/>
      </bottom>
      <diagonal/>
    </border>
    <border>
      <left style="thin">
        <color rgb="FF2D7D46"/>
      </left>
      <right style="thin">
        <color rgb="FF2D7D46"/>
      </right>
      <top style="thin">
        <color rgb="FF2D7D46"/>
      </top>
      <bottom style="thin">
        <color rgb="FF2D7D46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13" fillId="11" borderId="0" xfId="0" applyFont="1" applyFill="1" applyAlignment="1">
      <alignment horizontal="left" vertical="center"/>
    </xf>
    <xf numFmtId="0" fontId="9" fillId="2" borderId="0" xfId="0" applyFont="1" applyFill="1" applyAlignment="1">
      <alignment horizontal="left" vertical="center"/>
    </xf>
    <xf numFmtId="164" fontId="8" fillId="8" borderId="0" xfId="0" applyNumberFormat="1" applyFont="1" applyFill="1" applyAlignment="1">
      <alignment horizontal="center" vertical="center"/>
    </xf>
    <xf numFmtId="165" fontId="7" fillId="7" borderId="0" xfId="0" applyNumberFormat="1" applyFont="1" applyFill="1" applyAlignment="1">
      <alignment horizontal="center" vertical="center"/>
    </xf>
    <xf numFmtId="164" fontId="6" fillId="6" borderId="0" xfId="0" applyNumberFormat="1" applyFont="1" applyFill="1" applyAlignment="1">
      <alignment horizontal="center" vertical="center"/>
    </xf>
    <xf numFmtId="164" fontId="5" fillId="5" borderId="0" xfId="0" applyNumberFormat="1" applyFont="1" applyFill="1" applyAlignment="1">
      <alignment horizontal="center" vertical="center"/>
    </xf>
    <xf numFmtId="164" fontId="4" fillId="4" borderId="0" xfId="0" applyNumberFormat="1" applyFont="1" applyFill="1" applyAlignment="1">
      <alignment horizontal="center" vertical="center"/>
    </xf>
    <xf numFmtId="0" fontId="3" fillId="8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10" fillId="3" borderId="1" xfId="0" applyFont="1" applyFill="1" applyBorder="1" applyAlignment="1">
      <alignment horizontal="center" vertical="center"/>
    </xf>
    <xf numFmtId="0" fontId="11" fillId="9" borderId="2" xfId="0" applyFont="1" applyFill="1" applyBorder="1" applyAlignment="1">
      <alignment horizontal="center" vertical="center"/>
    </xf>
    <xf numFmtId="164" fontId="12" fillId="9" borderId="2" xfId="0" applyNumberFormat="1" applyFont="1" applyFill="1" applyBorder="1" applyAlignment="1">
      <alignment horizontal="right" vertical="center"/>
    </xf>
    <xf numFmtId="165" fontId="12" fillId="9" borderId="2" xfId="0" applyNumberFormat="1" applyFont="1" applyFill="1" applyBorder="1" applyAlignment="1">
      <alignment horizontal="center" vertical="center"/>
    </xf>
    <xf numFmtId="0" fontId="11" fillId="10" borderId="2" xfId="0" applyFont="1" applyFill="1" applyBorder="1" applyAlignment="1">
      <alignment horizontal="center" vertical="center"/>
    </xf>
    <xf numFmtId="164" fontId="12" fillId="10" borderId="2" xfId="0" applyNumberFormat="1" applyFont="1" applyFill="1" applyBorder="1" applyAlignment="1">
      <alignment horizontal="right" vertical="center"/>
    </xf>
    <xf numFmtId="165" fontId="12" fillId="10" borderId="2" xfId="0" applyNumberFormat="1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164" fontId="10" fillId="2" borderId="3" xfId="0" applyNumberFormat="1" applyFont="1" applyFill="1" applyBorder="1" applyAlignment="1">
      <alignment horizontal="right" vertical="center"/>
    </xf>
    <xf numFmtId="165" fontId="10" fillId="2" borderId="3" xfId="0" applyNumberFormat="1" applyFont="1" applyFill="1" applyBorder="1" applyAlignment="1">
      <alignment horizontal="center" vertical="center"/>
    </xf>
    <xf numFmtId="0" fontId="15" fillId="2" borderId="4" xfId="0" applyFont="1" applyFill="1" applyBorder="1" applyAlignment="1">
      <alignment horizontal="left" vertical="center"/>
    </xf>
    <xf numFmtId="0" fontId="15" fillId="2" borderId="4" xfId="0" applyFont="1" applyFill="1" applyBorder="1" applyAlignment="1">
      <alignment horizontal="center" vertical="center"/>
    </xf>
    <xf numFmtId="0" fontId="15" fillId="3" borderId="4" xfId="0" applyFont="1" applyFill="1" applyBorder="1" applyAlignment="1">
      <alignment horizontal="center" vertical="center"/>
    </xf>
    <xf numFmtId="0" fontId="16" fillId="9" borderId="4" xfId="0" applyFont="1" applyFill="1" applyBorder="1" applyAlignment="1">
      <alignment horizontal="left" vertical="center"/>
    </xf>
    <xf numFmtId="164" fontId="17" fillId="4" borderId="4" xfId="0" applyNumberFormat="1" applyFont="1" applyFill="1" applyBorder="1" applyAlignment="1">
      <alignment horizontal="right" vertical="center"/>
    </xf>
    <xf numFmtId="164" fontId="18" fillId="12" borderId="4" xfId="0" applyNumberFormat="1" applyFont="1" applyFill="1" applyBorder="1" applyAlignment="1">
      <alignment horizontal="right" vertical="center"/>
    </xf>
    <xf numFmtId="165" fontId="19" fillId="9" borderId="4" xfId="0" applyNumberFormat="1" applyFont="1" applyFill="1" applyBorder="1" applyAlignment="1">
      <alignment horizontal="center" vertical="center"/>
    </xf>
    <xf numFmtId="0" fontId="16" fillId="10" borderId="4" xfId="0" applyFont="1" applyFill="1" applyBorder="1" applyAlignment="1">
      <alignment horizontal="left" vertical="center"/>
    </xf>
    <xf numFmtId="165" fontId="19" fillId="10" borderId="4" xfId="0" applyNumberFormat="1" applyFont="1" applyFill="1" applyBorder="1" applyAlignment="1">
      <alignment horizontal="center" vertical="center"/>
    </xf>
    <xf numFmtId="0" fontId="15" fillId="2" borderId="3" xfId="0" applyFont="1" applyFill="1" applyBorder="1" applyAlignment="1">
      <alignment horizontal="left" vertical="center"/>
    </xf>
    <xf numFmtId="164" fontId="15" fillId="2" borderId="3" xfId="0" applyNumberFormat="1" applyFont="1" applyFill="1" applyBorder="1" applyAlignment="1">
      <alignment horizontal="right" vertical="center"/>
    </xf>
    <xf numFmtId="164" fontId="20" fillId="3" borderId="1" xfId="0" applyNumberFormat="1" applyFont="1" applyFill="1" applyBorder="1" applyAlignment="1">
      <alignment horizontal="right" vertical="center"/>
    </xf>
    <xf numFmtId="165" fontId="20" fillId="3" borderId="1" xfId="0" applyNumberFormat="1" applyFont="1" applyFill="1" applyBorder="1" applyAlignment="1">
      <alignment horizontal="center" vertical="center"/>
    </xf>
    <xf numFmtId="0" fontId="15" fillId="14" borderId="4" xfId="0" applyFont="1" applyFill="1" applyBorder="1" applyAlignment="1">
      <alignment horizontal="center" vertical="center"/>
    </xf>
    <xf numFmtId="165" fontId="0" fillId="10" borderId="4" xfId="0" applyNumberFormat="1" applyFill="1" applyBorder="1" applyAlignment="1">
      <alignment horizontal="center" vertical="center"/>
    </xf>
    <xf numFmtId="164" fontId="17" fillId="7" borderId="4" xfId="0" applyNumberFormat="1" applyFont="1" applyFill="1" applyBorder="1" applyAlignment="1">
      <alignment horizontal="right" vertical="center"/>
    </xf>
    <xf numFmtId="165" fontId="0" fillId="9" borderId="4" xfId="0" applyNumberFormat="1" applyFill="1" applyBorder="1" applyAlignment="1">
      <alignment horizontal="center" vertical="center"/>
    </xf>
    <xf numFmtId="164" fontId="20" fillId="2" borderId="3" xfId="0" applyNumberFormat="1" applyFont="1" applyFill="1" applyBorder="1" applyAlignment="1">
      <alignment horizontal="right" vertical="center"/>
    </xf>
    <xf numFmtId="164" fontId="20" fillId="14" borderId="5" xfId="0" applyNumberFormat="1" applyFont="1" applyFill="1" applyBorder="1" applyAlignment="1">
      <alignment horizontal="right" vertical="center"/>
    </xf>
    <xf numFmtId="0" fontId="10" fillId="3" borderId="4" xfId="0" applyFont="1" applyFill="1" applyBorder="1" applyAlignment="1">
      <alignment horizontal="center" vertical="center"/>
    </xf>
    <xf numFmtId="0" fontId="22" fillId="9" borderId="4" xfId="0" applyFont="1" applyFill="1" applyBorder="1" applyAlignment="1">
      <alignment horizontal="left" vertical="center"/>
    </xf>
    <xf numFmtId="0" fontId="16" fillId="9" borderId="4" xfId="0" applyFont="1" applyFill="1" applyBorder="1" applyAlignment="1">
      <alignment horizontal="center" vertical="center"/>
    </xf>
    <xf numFmtId="165" fontId="18" fillId="9" borderId="4" xfId="0" applyNumberFormat="1" applyFont="1" applyFill="1" applyBorder="1" applyAlignment="1">
      <alignment horizontal="center" vertical="center"/>
    </xf>
    <xf numFmtId="0" fontId="22" fillId="10" borderId="4" xfId="0" applyFont="1" applyFill="1" applyBorder="1" applyAlignment="1">
      <alignment horizontal="left" vertical="center"/>
    </xf>
    <xf numFmtId="0" fontId="16" fillId="10" borderId="4" xfId="0" applyFont="1" applyFill="1" applyBorder="1" applyAlignment="1">
      <alignment horizontal="center" vertical="center"/>
    </xf>
    <xf numFmtId="165" fontId="18" fillId="10" borderId="4" xfId="0" applyNumberFormat="1" applyFont="1" applyFill="1" applyBorder="1" applyAlignment="1">
      <alignment horizontal="center" vertical="center"/>
    </xf>
    <xf numFmtId="0" fontId="15" fillId="2" borderId="4" xfId="0" applyFont="1" applyFill="1" applyBorder="1"/>
    <xf numFmtId="165" fontId="20" fillId="2" borderId="3" xfId="0" applyNumberFormat="1" applyFont="1" applyFill="1" applyBorder="1" applyAlignment="1">
      <alignment horizontal="center" vertical="center"/>
    </xf>
    <xf numFmtId="0" fontId="23" fillId="9" borderId="4" xfId="0" applyFont="1" applyFill="1" applyBorder="1" applyAlignment="1">
      <alignment horizontal="left" vertical="center"/>
    </xf>
    <xf numFmtId="0" fontId="23" fillId="10" borderId="4" xfId="0" applyFont="1" applyFill="1" applyBorder="1" applyAlignment="1">
      <alignment horizontal="left" vertical="center"/>
    </xf>
    <xf numFmtId="0" fontId="15" fillId="2" borderId="3" xfId="0" applyFont="1" applyFill="1" applyBorder="1"/>
    <xf numFmtId="164" fontId="0" fillId="7" borderId="4" xfId="0" applyNumberFormat="1" applyFill="1" applyBorder="1" applyAlignment="1">
      <alignment horizontal="right" vertical="center"/>
    </xf>
    <xf numFmtId="164" fontId="0" fillId="9" borderId="4" xfId="0" applyNumberFormat="1" applyFill="1" applyBorder="1" applyAlignment="1">
      <alignment horizontal="right" vertical="center"/>
    </xf>
    <xf numFmtId="164" fontId="18" fillId="9" borderId="4" xfId="0" applyNumberFormat="1" applyFont="1" applyFill="1" applyBorder="1" applyAlignment="1">
      <alignment horizontal="right" vertical="center"/>
    </xf>
    <xf numFmtId="164" fontId="0" fillId="0" borderId="0" xfId="0" applyNumberFormat="1"/>
    <xf numFmtId="164" fontId="0" fillId="10" borderId="4" xfId="0" applyNumberFormat="1" applyFill="1" applyBorder="1" applyAlignment="1">
      <alignment horizontal="right" vertical="center"/>
    </xf>
    <xf numFmtId="164" fontId="18" fillId="10" borderId="4" xfId="0" applyNumberFormat="1" applyFont="1" applyFill="1" applyBorder="1" applyAlignment="1">
      <alignment horizontal="right" vertical="center"/>
    </xf>
    <xf numFmtId="0" fontId="15" fillId="11" borderId="4" xfId="0" applyFont="1" applyFill="1" applyBorder="1" applyAlignment="1">
      <alignment horizontal="center" vertical="center"/>
    </xf>
    <xf numFmtId="0" fontId="15" fillId="11" borderId="6" xfId="0" applyFont="1" applyFill="1" applyBorder="1"/>
    <xf numFmtId="164" fontId="20" fillId="11" borderId="6" xfId="0" applyNumberFormat="1" applyFont="1" applyFill="1" applyBorder="1" applyAlignment="1">
      <alignment horizontal="right" vertical="center"/>
    </xf>
    <xf numFmtId="165" fontId="20" fillId="11" borderId="6" xfId="0" applyNumberFormat="1" applyFont="1" applyFill="1" applyBorder="1" applyAlignment="1">
      <alignment horizontal="center" vertical="center"/>
    </xf>
    <xf numFmtId="0" fontId="15" fillId="3" borderId="1" xfId="0" applyFont="1" applyFill="1" applyBorder="1"/>
    <xf numFmtId="0" fontId="15" fillId="3" borderId="4" xfId="0" applyFont="1" applyFill="1" applyBorder="1" applyAlignment="1">
      <alignment horizontal="left" vertical="center"/>
    </xf>
    <xf numFmtId="0" fontId="24" fillId="9" borderId="4" xfId="0" applyFont="1" applyFill="1" applyBorder="1" applyAlignment="1">
      <alignment horizontal="left" vertical="center"/>
    </xf>
    <xf numFmtId="0" fontId="25" fillId="9" borderId="4" xfId="0" applyFont="1" applyFill="1" applyBorder="1" applyAlignment="1">
      <alignment horizontal="left" vertical="center"/>
    </xf>
    <xf numFmtId="0" fontId="0" fillId="10" borderId="0" xfId="0" applyFill="1"/>
    <xf numFmtId="0" fontId="14" fillId="6" borderId="0" xfId="0" applyFont="1" applyFill="1" applyAlignment="1">
      <alignment horizontal="left" vertical="center"/>
    </xf>
    <xf numFmtId="0" fontId="13" fillId="13" borderId="0" xfId="0" applyFont="1" applyFill="1" applyAlignment="1">
      <alignment horizontal="left" vertical="center"/>
    </xf>
    <xf numFmtId="0" fontId="14" fillId="5" borderId="0" xfId="0" applyFont="1" applyFill="1" applyAlignment="1">
      <alignment horizontal="left" vertical="center"/>
    </xf>
    <xf numFmtId="0" fontId="21" fillId="15" borderId="0" xfId="0" applyFont="1" applyFill="1" applyAlignment="1">
      <alignment horizontal="left" vertical="center"/>
    </xf>
    <xf numFmtId="0" fontId="13" fillId="14" borderId="0" xfId="0" applyFont="1" applyFill="1" applyAlignment="1">
      <alignment horizontal="left" vertical="center"/>
    </xf>
    <xf numFmtId="0" fontId="20" fillId="2" borderId="0" xfId="0" applyFont="1" applyFill="1" applyAlignment="1">
      <alignment horizontal="left" vertical="center"/>
    </xf>
    <xf numFmtId="0" fontId="13" fillId="16" borderId="0" xfId="0" applyFont="1" applyFill="1" applyAlignment="1">
      <alignment horizontal="left" vertical="center"/>
    </xf>
    <xf numFmtId="0" fontId="14" fillId="8" borderId="0" xfId="0" applyFont="1" applyFill="1" applyAlignment="1">
      <alignment horizontal="left" vertical="center"/>
    </xf>
    <xf numFmtId="0" fontId="13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9F9F9"/>
      <rgbColor rgb="FFFF00FF"/>
      <rgbColor rgb="FF00FFFF"/>
      <rgbColor rgb="FF800000"/>
      <rgbColor rgb="FF008000"/>
      <rgbColor rgb="FF000080"/>
      <rgbColor rgb="FF808000"/>
      <rgbColor rgb="FF800080"/>
      <rgbColor rgb="FF0D7377"/>
      <rgbColor rgb="FFBDC3C7"/>
      <rgbColor rgb="FF878787"/>
      <rgbColor rgb="FF9999FF"/>
      <rgbColor rgb="FFC0504D"/>
      <rgbColor rgb="FFFDF6E3"/>
      <rgbColor rgb="FFE0F4F4"/>
      <rgbColor rgb="FF660066"/>
      <rgbColor rgb="FFFF8080"/>
      <rgbColor rgb="FF0066CC"/>
      <rgbColor rgb="FFCCCCCC"/>
      <rgbColor rgb="FF000080"/>
      <rgbColor rgb="FFFF00FF"/>
      <rgbColor rgb="FFFFFF00"/>
      <rgbColor rgb="FF00FFFF"/>
      <rgbColor rgb="FF800080"/>
      <rgbColor rgb="FF800000"/>
      <rgbColor rgb="FF4F81BD"/>
      <rgbColor rgb="FF0000FF"/>
      <rgbColor rgb="FF00CCFF"/>
      <rgbColor rgb="FFE6F4EA"/>
      <rgbColor rgb="FFEAF2FB"/>
      <rgbColor rgb="FFFEF5EC"/>
      <rgbColor rgb="FFDDDDDD"/>
      <rgbColor rgb="FFFDECEA"/>
      <rgbColor rgb="FFF8F8F8"/>
      <rgbColor rgb="FFD9D9D9"/>
      <rgbColor rgb="FF4A7EBB"/>
      <rgbColor rgb="FF4BACC6"/>
      <rgbColor rgb="FF9BBB59"/>
      <rgbColor rgb="FFFFCC00"/>
      <rgbColor rgb="FFC9A84C"/>
      <rgbColor rgb="FFE67E22"/>
      <rgbColor rgb="FF8064A2"/>
      <rgbColor rgb="FF8C8C8C"/>
      <rgbColor rgb="FF1B3A5C"/>
      <rgbColor rgb="FF2D7D46"/>
      <rgbColor rgb="FF003300"/>
      <rgbColor rgb="FF4A4A4A"/>
      <rgbColor rgb="FFC0392B"/>
      <rgbColor rgb="FF993366"/>
      <rgbColor rgb="FF333399"/>
      <rgbColor rgb="FF2C3E5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Monthly Income vs Expenses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FFFFFF"/>
            </a:solidFill>
            <a:ln w="9360">
              <a:solidFill>
                <a:srgbClr val="F9F9F9"/>
              </a:solidFill>
              <a:round/>
            </a:ln>
          </c:spPr>
          <c:invertIfNegative val="0"/>
          <c:cat>
            <c:strRef>
              <c:f>'📊 Dashboard'!$B$13:$B$24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extLst>
            <c:ext xmlns:c16="http://schemas.microsoft.com/office/drawing/2014/chart" uri="{C3380CC4-5D6E-409C-BE32-E72D297353CC}">
              <c16:uniqueId val="{00000000-B833-4CCF-8A1E-32C103C76382}"/>
            </c:ext>
          </c:extLst>
        </c:ser>
        <c:ser>
          <c:idx val="1"/>
          <c:order val="1"/>
          <c:tx>
            <c:strRef>
              <c:f>'📊 Dashboard'!$C$12</c:f>
              <c:strCache>
                <c:ptCount val="1"/>
                <c:pt idx="0">
                  <c:v>Income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'📊 Dashboard'!$B$13:$B$24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'📊 Dashboard'!$C$13:$C$24</c:f>
              <c:numCache>
                <c:formatCode>\$#,##0_);[Red]"($"#,##0\);\-</c:formatCode>
                <c:ptCount val="12"/>
                <c:pt idx="0">
                  <c:v>8700</c:v>
                </c:pt>
                <c:pt idx="1">
                  <c:v>8500</c:v>
                </c:pt>
                <c:pt idx="2">
                  <c:v>9000</c:v>
                </c:pt>
                <c:pt idx="3">
                  <c:v>8600</c:v>
                </c:pt>
                <c:pt idx="4">
                  <c:v>8700</c:v>
                </c:pt>
                <c:pt idx="5">
                  <c:v>11600</c:v>
                </c:pt>
                <c:pt idx="6">
                  <c:v>8500</c:v>
                </c:pt>
                <c:pt idx="7">
                  <c:v>8650</c:v>
                </c:pt>
                <c:pt idx="8">
                  <c:v>8800</c:v>
                </c:pt>
                <c:pt idx="9">
                  <c:v>8550</c:v>
                </c:pt>
                <c:pt idx="10">
                  <c:v>8900</c:v>
                </c:pt>
                <c:pt idx="11">
                  <c:v>12000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833-4CCF-8A1E-32C103C76382}"/>
            </c:ext>
          </c:extLst>
        </c:ser>
        <c:ser>
          <c:idx val="2"/>
          <c:order val="2"/>
          <c:tx>
            <c:strRef>
              <c:f>'📊 Dashboard'!$D$12</c:f>
              <c:strCache>
                <c:ptCount val="1"/>
                <c:pt idx="0">
                  <c:v>Expenses</c:v>
                </c:pt>
              </c:strCache>
            </c:strRef>
          </c:tx>
          <c:spPr>
            <a:solidFill>
              <a:srgbClr val="9BBB59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'📊 Dashboard'!$B$13:$B$24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'📊 Dashboard'!$D$13:$D$24</c:f>
              <c:numCache>
                <c:formatCode>\$#,##0_);[Red]"($"#,##0\);\-</c:formatCode>
                <c:ptCount val="12"/>
                <c:pt idx="0">
                  <c:v>4415</c:v>
                </c:pt>
                <c:pt idx="1">
                  <c:v>4275</c:v>
                </c:pt>
                <c:pt idx="2">
                  <c:v>4815</c:v>
                </c:pt>
                <c:pt idx="3">
                  <c:v>4330</c:v>
                </c:pt>
                <c:pt idx="4">
                  <c:v>4440</c:v>
                </c:pt>
                <c:pt idx="5">
                  <c:v>4820</c:v>
                </c:pt>
                <c:pt idx="6">
                  <c:v>5035</c:v>
                </c:pt>
                <c:pt idx="7">
                  <c:v>4535</c:v>
                </c:pt>
                <c:pt idx="8">
                  <c:v>4500</c:v>
                </c:pt>
                <c:pt idx="9">
                  <c:v>4470</c:v>
                </c:pt>
                <c:pt idx="10">
                  <c:v>4485</c:v>
                </c:pt>
                <c:pt idx="11">
                  <c:v>5005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833-4CCF-8A1E-32C103C763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4317114"/>
        <c:axId val="62528228"/>
      </c:barChart>
      <c:catAx>
        <c:axId val="4431711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2528228"/>
        <c:crosses val="autoZero"/>
        <c:auto val="1"/>
        <c:lblAlgn val="ctr"/>
        <c:lblOffset val="100"/>
        <c:noMultiLvlLbl val="0"/>
      </c:catAx>
      <c:valAx>
        <c:axId val="6252822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Amount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_);[Red]&quot;($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431711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Cumulative Savings Growth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'📊 Dashboard'!$G$12</c:f>
              <c:strCache>
                <c:ptCount val="1"/>
                <c:pt idx="0">
                  <c:v>Cumul. Savings</c:v>
                </c:pt>
              </c:strCache>
            </c:strRef>
          </c:tx>
          <c:spPr>
            <a:ln w="4752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'📊 Dashboard'!$B$13:$B$24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'📊 Dashboard'!$G$13:$G$24</c:f>
              <c:numCache>
                <c:formatCode>\$#,##0_);[Red]"($"#,##0\);\-</c:formatCode>
                <c:ptCount val="12"/>
                <c:pt idx="0">
                  <c:v>4285</c:v>
                </c:pt>
                <c:pt idx="1">
                  <c:v>8510</c:v>
                </c:pt>
                <c:pt idx="2">
                  <c:v>12695</c:v>
                </c:pt>
                <c:pt idx="3">
                  <c:v>16965</c:v>
                </c:pt>
                <c:pt idx="4">
                  <c:v>21225</c:v>
                </c:pt>
                <c:pt idx="5">
                  <c:v>28005</c:v>
                </c:pt>
                <c:pt idx="6">
                  <c:v>31470</c:v>
                </c:pt>
                <c:pt idx="7">
                  <c:v>35585</c:v>
                </c:pt>
                <c:pt idx="8">
                  <c:v>39885</c:v>
                </c:pt>
                <c:pt idx="9">
                  <c:v>43965</c:v>
                </c:pt>
                <c:pt idx="10">
                  <c:v>48380</c:v>
                </c:pt>
                <c:pt idx="11">
                  <c:v>55375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B40-4EAA-9CFB-F4ACF1A40A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3209388"/>
        <c:axId val="51545485"/>
      </c:lineChart>
      <c:catAx>
        <c:axId val="320938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1545485"/>
        <c:crosses val="autoZero"/>
        <c:auto val="1"/>
        <c:lblAlgn val="ctr"/>
        <c:lblOffset val="100"/>
        <c:noMultiLvlLbl val="0"/>
      </c:catAx>
      <c:valAx>
        <c:axId val="5154548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Cumulative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_);[Red]&quot;($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20938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Monthly Expense Breakdown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'📊 Dashboard'!$H$12</c:f>
              <c:strCache>
                <c:ptCount val="1"/>
                <c:pt idx="0">
                  <c:v>Housing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'📊 Dashboard'!$B$13:$B$24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'📊 Dashboard'!$H$13:$H$24</c:f>
              <c:numCache>
                <c:formatCode>\$#,##0_);[Red]"($"#,##0\);\-</c:formatCode>
                <c:ptCount val="12"/>
                <c:pt idx="0">
                  <c:v>2190</c:v>
                </c:pt>
                <c:pt idx="1">
                  <c:v>2170</c:v>
                </c:pt>
                <c:pt idx="2">
                  <c:v>2160</c:v>
                </c:pt>
                <c:pt idx="3">
                  <c:v>2165</c:v>
                </c:pt>
                <c:pt idx="4">
                  <c:v>2150</c:v>
                </c:pt>
                <c:pt idx="5">
                  <c:v>2155</c:v>
                </c:pt>
                <c:pt idx="6">
                  <c:v>2170</c:v>
                </c:pt>
                <c:pt idx="7">
                  <c:v>2180</c:v>
                </c:pt>
                <c:pt idx="8">
                  <c:v>2175</c:v>
                </c:pt>
                <c:pt idx="9">
                  <c:v>2165</c:v>
                </c:pt>
                <c:pt idx="10">
                  <c:v>2185</c:v>
                </c:pt>
                <c:pt idx="11">
                  <c:v>2200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33-465B-88D8-B6B9B860ABD3}"/>
            </c:ext>
          </c:extLst>
        </c:ser>
        <c:ser>
          <c:idx val="1"/>
          <c:order val="1"/>
          <c:tx>
            <c:strRef>
              <c:f>'📊 Dashboard'!$I$12</c:f>
              <c:strCache>
                <c:ptCount val="1"/>
                <c:pt idx="0">
                  <c:v>Food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'📊 Dashboard'!$B$13:$B$24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'📊 Dashboard'!$I$13:$I$24</c:f>
              <c:numCache>
                <c:formatCode>\$#,##0_);[Red]"($"#,##0\);\-</c:formatCode>
                <c:ptCount val="12"/>
                <c:pt idx="0">
                  <c:v>750</c:v>
                </c:pt>
                <c:pt idx="1">
                  <c:v>680</c:v>
                </c:pt>
                <c:pt idx="2">
                  <c:v>785</c:v>
                </c:pt>
                <c:pt idx="3">
                  <c:v>715</c:v>
                </c:pt>
                <c:pt idx="4">
                  <c:v>675</c:v>
                </c:pt>
                <c:pt idx="5">
                  <c:v>850</c:v>
                </c:pt>
                <c:pt idx="6">
                  <c:v>910</c:v>
                </c:pt>
                <c:pt idx="7">
                  <c:v>835</c:v>
                </c:pt>
                <c:pt idx="8">
                  <c:v>750</c:v>
                </c:pt>
                <c:pt idx="9">
                  <c:v>710</c:v>
                </c:pt>
                <c:pt idx="10">
                  <c:v>785</c:v>
                </c:pt>
                <c:pt idx="11">
                  <c:v>955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133-465B-88D8-B6B9B860ABD3}"/>
            </c:ext>
          </c:extLst>
        </c:ser>
        <c:ser>
          <c:idx val="2"/>
          <c:order val="2"/>
          <c:tx>
            <c:strRef>
              <c:f>'📊 Dashboard'!$J$12</c:f>
              <c:strCache>
                <c:ptCount val="1"/>
                <c:pt idx="0">
                  <c:v>Transport</c:v>
                </c:pt>
              </c:strCache>
            </c:strRef>
          </c:tx>
          <c:spPr>
            <a:solidFill>
              <a:srgbClr val="9BBB59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'📊 Dashboard'!$B$13:$B$24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'📊 Dashboard'!$J$13:$J$24</c:f>
              <c:numCache>
                <c:formatCode>\$#,##0_);[Red]"($"#,##0\);\-</c:formatCode>
                <c:ptCount val="12"/>
                <c:pt idx="0">
                  <c:v>760</c:v>
                </c:pt>
                <c:pt idx="1">
                  <c:v>750</c:v>
                </c:pt>
                <c:pt idx="2">
                  <c:v>765</c:v>
                </c:pt>
                <c:pt idx="3">
                  <c:v>755</c:v>
                </c:pt>
                <c:pt idx="4">
                  <c:v>740</c:v>
                </c:pt>
                <c:pt idx="5">
                  <c:v>770</c:v>
                </c:pt>
                <c:pt idx="6">
                  <c:v>780</c:v>
                </c:pt>
                <c:pt idx="7">
                  <c:v>775</c:v>
                </c:pt>
                <c:pt idx="8">
                  <c:v>765</c:v>
                </c:pt>
                <c:pt idx="9">
                  <c:v>755</c:v>
                </c:pt>
                <c:pt idx="10">
                  <c:v>770</c:v>
                </c:pt>
                <c:pt idx="11">
                  <c:v>785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133-465B-88D8-B6B9B860ABD3}"/>
            </c:ext>
          </c:extLst>
        </c:ser>
        <c:ser>
          <c:idx val="3"/>
          <c:order val="3"/>
          <c:tx>
            <c:strRef>
              <c:f>'📊 Dashboard'!$K$12</c:f>
              <c:strCache>
                <c:ptCount val="1"/>
                <c:pt idx="0">
                  <c:v>Health</c:v>
                </c:pt>
              </c:strCache>
            </c:strRef>
          </c:tx>
          <c:spPr>
            <a:solidFill>
              <a:srgbClr val="8064A2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'📊 Dashboard'!$B$13:$B$24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'📊 Dashboard'!$K$13:$K$24</c:f>
              <c:numCache>
                <c:formatCode>\$#,##0_);[Red]"($"#,##0\);\-</c:formatCode>
                <c:ptCount val="12"/>
                <c:pt idx="0">
                  <c:v>350</c:v>
                </c:pt>
                <c:pt idx="1">
                  <c:v>350</c:v>
                </c:pt>
                <c:pt idx="2">
                  <c:v>500</c:v>
                </c:pt>
                <c:pt idx="3">
                  <c:v>350</c:v>
                </c:pt>
                <c:pt idx="4">
                  <c:v>350</c:v>
                </c:pt>
                <c:pt idx="5">
                  <c:v>550</c:v>
                </c:pt>
                <c:pt idx="6">
                  <c:v>350</c:v>
                </c:pt>
                <c:pt idx="7">
                  <c:v>350</c:v>
                </c:pt>
                <c:pt idx="8">
                  <c:v>450</c:v>
                </c:pt>
                <c:pt idx="9">
                  <c:v>350</c:v>
                </c:pt>
                <c:pt idx="10">
                  <c:v>350</c:v>
                </c:pt>
                <c:pt idx="11">
                  <c:v>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133-465B-88D8-B6B9B860ABD3}"/>
            </c:ext>
          </c:extLst>
        </c:ser>
        <c:ser>
          <c:idx val="4"/>
          <c:order val="4"/>
          <c:tx>
            <c:strRef>
              <c:f>'📊 Dashboard'!$L$12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rgbClr val="4BACC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'📊 Dashboard'!$B$13:$B$24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'📊 Dashboard'!$L$13:$L$24</c:f>
              <c:numCache>
                <c:formatCode>\$#,##0_);[Red]"($"#,##0\);\-</c:formatCode>
                <c:ptCount val="12"/>
                <c:pt idx="0">
                  <c:v>365</c:v>
                </c:pt>
                <c:pt idx="1">
                  <c:v>325</c:v>
                </c:pt>
                <c:pt idx="2">
                  <c:v>605</c:v>
                </c:pt>
                <c:pt idx="3">
                  <c:v>345</c:v>
                </c:pt>
                <c:pt idx="4">
                  <c:v>525</c:v>
                </c:pt>
                <c:pt idx="5">
                  <c:v>495</c:v>
                </c:pt>
                <c:pt idx="6">
                  <c:v>825</c:v>
                </c:pt>
                <c:pt idx="7">
                  <c:v>395</c:v>
                </c:pt>
                <c:pt idx="8">
                  <c:v>360</c:v>
                </c:pt>
                <c:pt idx="9">
                  <c:v>490</c:v>
                </c:pt>
                <c:pt idx="10">
                  <c:v>395</c:v>
                </c:pt>
                <c:pt idx="11">
                  <c:v>715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133-465B-88D8-B6B9B860AB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4536120"/>
        <c:axId val="61507906"/>
      </c:barChart>
      <c:catAx>
        <c:axId val="84536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1507906"/>
        <c:crosses val="autoZero"/>
        <c:auto val="1"/>
        <c:lblAlgn val="ctr"/>
        <c:lblOffset val="100"/>
        <c:noMultiLvlLbl val="0"/>
      </c:catAx>
      <c:valAx>
        <c:axId val="6150790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_);[Red]&quot;($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453612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27</xdr:row>
      <xdr:rowOff>0</xdr:rowOff>
    </xdr:from>
    <xdr:to>
      <xdr:col>7</xdr:col>
      <xdr:colOff>605980</xdr:colOff>
      <xdr:row>44</xdr:row>
      <xdr:rowOff>109800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27</xdr:row>
      <xdr:rowOff>0</xdr:rowOff>
    </xdr:from>
    <xdr:to>
      <xdr:col>15</xdr:col>
      <xdr:colOff>40680</xdr:colOff>
      <xdr:row>44</xdr:row>
      <xdr:rowOff>109800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47</xdr:row>
      <xdr:rowOff>0</xdr:rowOff>
    </xdr:from>
    <xdr:to>
      <xdr:col>16</xdr:col>
      <xdr:colOff>37630</xdr:colOff>
      <xdr:row>64</xdr:row>
      <xdr:rowOff>109800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8C8C8C"/>
  </sheetPr>
  <dimension ref="B1:C25"/>
  <sheetViews>
    <sheetView showGridLines="0" zoomScaleNormal="100" workbookViewId="0">
      <selection activeCell="C10" sqref="C10"/>
    </sheetView>
  </sheetViews>
  <sheetFormatPr defaultColWidth="8.6328125" defaultRowHeight="14.5" x14ac:dyDescent="0.35"/>
  <cols>
    <col min="1" max="1" width="2" customWidth="1"/>
    <col min="2" max="2" width="22" customWidth="1"/>
    <col min="3" max="3" width="63.08984375" bestFit="1" customWidth="1"/>
    <col min="4" max="4" width="2" customWidth="1"/>
  </cols>
  <sheetData>
    <row r="1" spans="2:3" ht="39.75" customHeight="1" x14ac:dyDescent="0.35">
      <c r="B1" s="84" t="s">
        <v>123</v>
      </c>
      <c r="C1" s="84"/>
    </row>
    <row r="3" spans="2:3" ht="25.5" customHeight="1" x14ac:dyDescent="0.35">
      <c r="B3" s="72" t="s">
        <v>124</v>
      </c>
      <c r="C3" s="72"/>
    </row>
    <row r="4" spans="2:3" ht="21.75" customHeight="1" x14ac:dyDescent="0.35">
      <c r="B4" s="73" t="s">
        <v>125</v>
      </c>
      <c r="C4" s="74" t="s">
        <v>126</v>
      </c>
    </row>
    <row r="5" spans="2:3" ht="21.75" customHeight="1" x14ac:dyDescent="0.35">
      <c r="B5" s="73" t="s">
        <v>127</v>
      </c>
      <c r="C5" s="74" t="s">
        <v>128</v>
      </c>
    </row>
    <row r="6" spans="2:3" ht="21.75" customHeight="1" x14ac:dyDescent="0.35">
      <c r="B6" s="73" t="s">
        <v>129</v>
      </c>
      <c r="C6" s="74" t="s">
        <v>130</v>
      </c>
    </row>
    <row r="7" spans="2:3" ht="21.75" customHeight="1" x14ac:dyDescent="0.35">
      <c r="B7" s="75"/>
      <c r="C7" s="75"/>
    </row>
    <row r="8" spans="2:3" ht="25.5" customHeight="1" x14ac:dyDescent="0.35">
      <c r="B8" s="72" t="s">
        <v>131</v>
      </c>
      <c r="C8" s="72"/>
    </row>
    <row r="9" spans="2:3" ht="21.75" customHeight="1" x14ac:dyDescent="0.35">
      <c r="B9" s="73" t="s">
        <v>132</v>
      </c>
      <c r="C9" s="74" t="s">
        <v>133</v>
      </c>
    </row>
    <row r="10" spans="2:3" ht="21.75" customHeight="1" x14ac:dyDescent="0.35">
      <c r="B10" s="73" t="s">
        <v>134</v>
      </c>
      <c r="C10" s="74" t="s">
        <v>135</v>
      </c>
    </row>
    <row r="11" spans="2:3" ht="21.75" customHeight="1" x14ac:dyDescent="0.35">
      <c r="B11" s="73" t="s">
        <v>136</v>
      </c>
      <c r="C11" s="74" t="s">
        <v>137</v>
      </c>
    </row>
    <row r="12" spans="2:3" ht="21.75" customHeight="1" x14ac:dyDescent="0.35">
      <c r="B12" s="73" t="s">
        <v>138</v>
      </c>
      <c r="C12" s="74" t="s">
        <v>139</v>
      </c>
    </row>
    <row r="13" spans="2:3" ht="21.75" customHeight="1" x14ac:dyDescent="0.35">
      <c r="B13" s="73" t="s">
        <v>140</v>
      </c>
      <c r="C13" s="74" t="s">
        <v>141</v>
      </c>
    </row>
    <row r="14" spans="2:3" ht="21.75" customHeight="1" x14ac:dyDescent="0.35">
      <c r="B14" s="75"/>
      <c r="C14" s="75"/>
    </row>
    <row r="15" spans="2:3" ht="25.5" customHeight="1" x14ac:dyDescent="0.35">
      <c r="B15" s="72" t="s">
        <v>142</v>
      </c>
      <c r="C15" s="72"/>
    </row>
    <row r="16" spans="2:3" ht="21.75" customHeight="1" x14ac:dyDescent="0.35">
      <c r="B16" s="73" t="s">
        <v>143</v>
      </c>
      <c r="C16" s="74" t="s">
        <v>144</v>
      </c>
    </row>
    <row r="17" spans="2:3" ht="21.75" customHeight="1" x14ac:dyDescent="0.35">
      <c r="B17" s="73" t="s">
        <v>145</v>
      </c>
      <c r="C17" s="74" t="s">
        <v>146</v>
      </c>
    </row>
    <row r="18" spans="2:3" ht="21.75" customHeight="1" x14ac:dyDescent="0.35">
      <c r="B18" s="73" t="s">
        <v>147</v>
      </c>
      <c r="C18" s="74" t="s">
        <v>148</v>
      </c>
    </row>
    <row r="19" spans="2:3" ht="21.75" customHeight="1" x14ac:dyDescent="0.35">
      <c r="B19" s="73" t="s">
        <v>149</v>
      </c>
      <c r="C19" s="74" t="s">
        <v>150</v>
      </c>
    </row>
    <row r="20" spans="2:3" ht="21.75" customHeight="1" x14ac:dyDescent="0.35">
      <c r="B20" s="73" t="s">
        <v>151</v>
      </c>
      <c r="C20" s="74" t="s">
        <v>152</v>
      </c>
    </row>
    <row r="21" spans="2:3" ht="21.75" customHeight="1" x14ac:dyDescent="0.35">
      <c r="B21" s="75"/>
      <c r="C21" s="75"/>
    </row>
    <row r="22" spans="2:3" ht="25.5" customHeight="1" x14ac:dyDescent="0.35">
      <c r="B22" s="72" t="s">
        <v>153</v>
      </c>
      <c r="C22" s="72"/>
    </row>
    <row r="23" spans="2:3" ht="21.75" customHeight="1" x14ac:dyDescent="0.35">
      <c r="B23" s="73" t="s">
        <v>154</v>
      </c>
      <c r="C23" s="74" t="s">
        <v>155</v>
      </c>
    </row>
    <row r="24" spans="2:3" ht="21.75" customHeight="1" x14ac:dyDescent="0.35">
      <c r="B24" s="73" t="s">
        <v>156</v>
      </c>
      <c r="C24" s="74" t="s">
        <v>157</v>
      </c>
    </row>
    <row r="25" spans="2:3" ht="21.75" customHeight="1" x14ac:dyDescent="0.35">
      <c r="B25" s="73" t="s">
        <v>158</v>
      </c>
      <c r="C25" s="74" t="s">
        <v>159</v>
      </c>
    </row>
  </sheetData>
  <sheetProtection algorithmName="SHA-512" hashValue="kazoC1RgLETCdkyPcmGqAlNf6dI7axwFOJaLmXjvDJ95tGEZ1tOnz9NfvfjecJto/ZajsLFvUhd3O6SMpJ/Rdg==" saltValue="c8cdzmYmVktSVeiQAigXKg==" spinCount="100000" sheet="1" objects="1" scenarios="1"/>
  <mergeCells count="1">
    <mergeCell ref="B1:C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B3A5C"/>
  </sheetPr>
  <dimension ref="B1:L79"/>
  <sheetViews>
    <sheetView showGridLines="0" zoomScaleNormal="100" workbookViewId="0">
      <pane xSplit="2" ySplit="12" topLeftCell="C13" activePane="bottomRight" state="frozen"/>
      <selection pane="topRight" activeCell="C1" sqref="C1"/>
      <selection pane="bottomLeft" activeCell="A13" sqref="A13"/>
      <selection pane="bottomRight" activeCell="G14" sqref="G14"/>
    </sheetView>
  </sheetViews>
  <sheetFormatPr defaultColWidth="8.6328125" defaultRowHeight="14.5" x14ac:dyDescent="0.35"/>
  <cols>
    <col min="1" max="1" width="2" customWidth="1"/>
    <col min="2" max="2" width="16" customWidth="1"/>
    <col min="3" max="6" width="14" customWidth="1"/>
    <col min="7" max="7" width="11.26953125" bestFit="1" customWidth="1"/>
    <col min="8" max="8" width="16" customWidth="1"/>
    <col min="9" max="12" width="14" customWidth="1"/>
    <col min="13" max="13" width="2" customWidth="1"/>
  </cols>
  <sheetData>
    <row r="1" spans="2:12" ht="7.5" customHeight="1" x14ac:dyDescent="0.35"/>
    <row r="2" spans="2:12" ht="48" customHeight="1" x14ac:dyDescent="0.35">
      <c r="B2" s="14" t="s">
        <v>0</v>
      </c>
      <c r="C2" s="14"/>
      <c r="D2" s="14"/>
      <c r="E2" s="14"/>
      <c r="F2" s="14"/>
      <c r="G2" s="14"/>
      <c r="H2" s="14"/>
      <c r="I2" s="14"/>
      <c r="J2" s="14"/>
      <c r="K2" s="14"/>
      <c r="L2" s="14"/>
    </row>
    <row r="3" spans="2:12" ht="24" customHeight="1" x14ac:dyDescent="0.35">
      <c r="B3" s="13" t="s">
        <v>1</v>
      </c>
      <c r="C3" s="13"/>
      <c r="D3" s="13"/>
      <c r="E3" s="13"/>
      <c r="F3" s="13"/>
      <c r="G3" s="13"/>
      <c r="H3" s="13"/>
      <c r="I3" s="13"/>
      <c r="J3" s="13"/>
      <c r="K3" s="13"/>
      <c r="L3" s="13"/>
    </row>
    <row r="4" spans="2:12" ht="19.5" customHeight="1" x14ac:dyDescent="0.35"/>
    <row r="5" spans="2:12" ht="7.5" customHeight="1" x14ac:dyDescent="0.35">
      <c r="B5" s="15"/>
      <c r="C5" s="15"/>
      <c r="D5" s="16"/>
      <c r="E5" s="16"/>
      <c r="F5" s="17"/>
      <c r="G5" s="17"/>
      <c r="H5" s="18"/>
      <c r="I5" s="18"/>
      <c r="J5" s="19"/>
      <c r="K5" s="19"/>
    </row>
    <row r="6" spans="2:12" ht="21.75" customHeight="1" x14ac:dyDescent="0.35">
      <c r="B6" s="12" t="s">
        <v>2</v>
      </c>
      <c r="C6" s="12"/>
      <c r="D6" s="11" t="s">
        <v>3</v>
      </c>
      <c r="E6" s="11"/>
      <c r="F6" s="10" t="s">
        <v>4</v>
      </c>
      <c r="G6" s="10"/>
      <c r="H6" s="9" t="s">
        <v>5</v>
      </c>
      <c r="I6" s="9"/>
      <c r="J6" s="8" t="s">
        <v>6</v>
      </c>
      <c r="K6" s="8"/>
    </row>
    <row r="7" spans="2:12" ht="36" customHeight="1" x14ac:dyDescent="0.35">
      <c r="B7" s="7">
        <f>C25</f>
        <v>110500</v>
      </c>
      <c r="C7" s="7"/>
      <c r="D7" s="6">
        <f>D25</f>
        <v>55125</v>
      </c>
      <c r="E7" s="6"/>
      <c r="F7" s="5">
        <f>E25</f>
        <v>55375</v>
      </c>
      <c r="G7" s="5"/>
      <c r="H7" s="4">
        <f>IF(B7=0,0,F7/B7)</f>
        <v>0.50113122171945701</v>
      </c>
      <c r="I7" s="4"/>
      <c r="J7" s="3">
        <f>'📊 Budget vs Actual'!N5</f>
        <v>5</v>
      </c>
      <c r="K7" s="3"/>
    </row>
    <row r="8" spans="2:12" ht="7.5" customHeight="1" x14ac:dyDescent="0.35">
      <c r="B8" s="15"/>
      <c r="C8" s="15"/>
      <c r="D8" s="16"/>
      <c r="E8" s="16"/>
      <c r="F8" s="17"/>
      <c r="G8" s="17"/>
      <c r="H8" s="18"/>
      <c r="I8" s="18"/>
      <c r="J8" s="19"/>
      <c r="K8" s="19"/>
    </row>
    <row r="9" spans="2:12" ht="7.5" customHeight="1" x14ac:dyDescent="0.35">
      <c r="B9" s="15"/>
      <c r="C9" s="15"/>
      <c r="D9" s="16"/>
      <c r="E9" s="16"/>
      <c r="F9" s="17"/>
      <c r="G9" s="17"/>
      <c r="H9" s="18"/>
      <c r="I9" s="18"/>
      <c r="J9" s="19"/>
      <c r="K9" s="19"/>
    </row>
    <row r="10" spans="2:12" ht="27.75" customHeight="1" x14ac:dyDescent="0.35"/>
    <row r="11" spans="2:12" ht="27.75" customHeight="1" x14ac:dyDescent="0.35">
      <c r="B11" s="2" t="s">
        <v>7</v>
      </c>
      <c r="C11" s="2"/>
      <c r="D11" s="2"/>
      <c r="E11" s="2"/>
      <c r="F11" s="2"/>
      <c r="G11" s="2"/>
      <c r="H11" s="2"/>
      <c r="I11" s="2"/>
      <c r="J11" s="2"/>
      <c r="K11" s="2"/>
      <c r="L11" s="2"/>
    </row>
    <row r="12" spans="2:12" ht="21.75" customHeight="1" x14ac:dyDescent="0.35">
      <c r="B12" s="20" t="s">
        <v>8</v>
      </c>
      <c r="C12" s="20" t="s">
        <v>9</v>
      </c>
      <c r="D12" s="20" t="s">
        <v>10</v>
      </c>
      <c r="E12" s="20" t="s">
        <v>11</v>
      </c>
      <c r="F12" s="20" t="s">
        <v>12</v>
      </c>
      <c r="G12" s="20" t="s">
        <v>13</v>
      </c>
      <c r="H12" s="20" t="s">
        <v>14</v>
      </c>
      <c r="I12" s="20" t="s">
        <v>15</v>
      </c>
      <c r="J12" s="20" t="s">
        <v>16</v>
      </c>
      <c r="K12" s="20" t="s">
        <v>17</v>
      </c>
      <c r="L12" s="20" t="s">
        <v>18</v>
      </c>
    </row>
    <row r="13" spans="2:12" ht="18" customHeight="1" x14ac:dyDescent="0.35">
      <c r="B13" s="21" t="s">
        <v>19</v>
      </c>
      <c r="C13" s="22">
        <f>'📥 Income'!C11</f>
        <v>8700</v>
      </c>
      <c r="D13" s="22">
        <f>'💸 Expenses'!C29</f>
        <v>4415</v>
      </c>
      <c r="E13" s="22">
        <f t="shared" ref="E13:E24" si="0">C13-D13</f>
        <v>4285</v>
      </c>
      <c r="F13" s="23">
        <f t="shared" ref="F13:F25" si="1">IF(C13=0,0,E13/C13)</f>
        <v>0.49252873563218391</v>
      </c>
      <c r="G13" s="22">
        <f>E13</f>
        <v>4285</v>
      </c>
      <c r="H13" s="22">
        <f>SUM('💸 Expenses'!C6:C9)</f>
        <v>2190</v>
      </c>
      <c r="I13" s="22">
        <f>SUM('💸 Expenses'!C11:C13)</f>
        <v>750</v>
      </c>
      <c r="J13" s="22">
        <f>SUM('💸 Expenses'!C15:C18)</f>
        <v>760</v>
      </c>
      <c r="K13" s="22">
        <f>SUM('💸 Expenses'!C20:C22)</f>
        <v>350</v>
      </c>
      <c r="L13" s="22">
        <f>SUM('💸 Expenses'!C24:C28)</f>
        <v>365</v>
      </c>
    </row>
    <row r="14" spans="2:12" ht="18" customHeight="1" x14ac:dyDescent="0.35">
      <c r="B14" s="24" t="s">
        <v>20</v>
      </c>
      <c r="C14" s="25">
        <f>'📥 Income'!D11</f>
        <v>8500</v>
      </c>
      <c r="D14" s="25">
        <f>'💸 Expenses'!D29</f>
        <v>4275</v>
      </c>
      <c r="E14" s="25">
        <f t="shared" si="0"/>
        <v>4225</v>
      </c>
      <c r="F14" s="26">
        <f t="shared" si="1"/>
        <v>0.49705882352941178</v>
      </c>
      <c r="G14" s="25">
        <f t="shared" ref="G14:G24" si="2">G13+E14</f>
        <v>8510</v>
      </c>
      <c r="H14" s="25">
        <f>SUM('💸 Expenses'!D6:D9)</f>
        <v>2170</v>
      </c>
      <c r="I14" s="25">
        <f>SUM('💸 Expenses'!D11:D13)</f>
        <v>680</v>
      </c>
      <c r="J14" s="25">
        <f>SUM('💸 Expenses'!D15:D18)</f>
        <v>750</v>
      </c>
      <c r="K14" s="25">
        <f>SUM('💸 Expenses'!D20:D22)</f>
        <v>350</v>
      </c>
      <c r="L14" s="25">
        <f>SUM('💸 Expenses'!D24:D28)</f>
        <v>325</v>
      </c>
    </row>
    <row r="15" spans="2:12" ht="18" customHeight="1" x14ac:dyDescent="0.35">
      <c r="B15" s="21" t="s">
        <v>21</v>
      </c>
      <c r="C15" s="22">
        <f>'📥 Income'!E11</f>
        <v>9000</v>
      </c>
      <c r="D15" s="22">
        <f>'💸 Expenses'!E29</f>
        <v>4815</v>
      </c>
      <c r="E15" s="22">
        <f t="shared" si="0"/>
        <v>4185</v>
      </c>
      <c r="F15" s="23">
        <f t="shared" si="1"/>
        <v>0.46500000000000002</v>
      </c>
      <c r="G15" s="22">
        <f t="shared" si="2"/>
        <v>12695</v>
      </c>
      <c r="H15" s="22">
        <f>SUM('💸 Expenses'!E6:E9)</f>
        <v>2160</v>
      </c>
      <c r="I15" s="22">
        <f>SUM('💸 Expenses'!E11:E13)</f>
        <v>785</v>
      </c>
      <c r="J15" s="22">
        <f>SUM('💸 Expenses'!E15:E18)</f>
        <v>765</v>
      </c>
      <c r="K15" s="22">
        <f>SUM('💸 Expenses'!E20:E22)</f>
        <v>500</v>
      </c>
      <c r="L15" s="22">
        <f>SUM('💸 Expenses'!E24:E28)</f>
        <v>605</v>
      </c>
    </row>
    <row r="16" spans="2:12" ht="18" customHeight="1" x14ac:dyDescent="0.35">
      <c r="B16" s="24" t="s">
        <v>22</v>
      </c>
      <c r="C16" s="25">
        <f>'📥 Income'!F11</f>
        <v>8600</v>
      </c>
      <c r="D16" s="25">
        <f>'💸 Expenses'!F29</f>
        <v>4330</v>
      </c>
      <c r="E16" s="25">
        <f t="shared" si="0"/>
        <v>4270</v>
      </c>
      <c r="F16" s="26">
        <f t="shared" si="1"/>
        <v>0.49651162790697673</v>
      </c>
      <c r="G16" s="25">
        <f t="shared" si="2"/>
        <v>16965</v>
      </c>
      <c r="H16" s="25">
        <f>SUM('💸 Expenses'!F6:F9)</f>
        <v>2165</v>
      </c>
      <c r="I16" s="25">
        <f>SUM('💸 Expenses'!F11:F13)</f>
        <v>715</v>
      </c>
      <c r="J16" s="25">
        <f>SUM('💸 Expenses'!F15:F18)</f>
        <v>755</v>
      </c>
      <c r="K16" s="25">
        <f>SUM('💸 Expenses'!F20:F22)</f>
        <v>350</v>
      </c>
      <c r="L16" s="25">
        <f>SUM('💸 Expenses'!F24:F28)</f>
        <v>345</v>
      </c>
    </row>
    <row r="17" spans="2:12" ht="18" customHeight="1" x14ac:dyDescent="0.35">
      <c r="B17" s="21" t="s">
        <v>23</v>
      </c>
      <c r="C17" s="22">
        <f>'📥 Income'!G11</f>
        <v>8700</v>
      </c>
      <c r="D17" s="22">
        <f>'💸 Expenses'!G29</f>
        <v>4440</v>
      </c>
      <c r="E17" s="22">
        <f t="shared" si="0"/>
        <v>4260</v>
      </c>
      <c r="F17" s="23">
        <f t="shared" si="1"/>
        <v>0.48965517241379308</v>
      </c>
      <c r="G17" s="22">
        <f t="shared" si="2"/>
        <v>21225</v>
      </c>
      <c r="H17" s="22">
        <f>SUM('💸 Expenses'!G6:G9)</f>
        <v>2150</v>
      </c>
      <c r="I17" s="22">
        <f>SUM('💸 Expenses'!G11:G13)</f>
        <v>675</v>
      </c>
      <c r="J17" s="22">
        <f>SUM('💸 Expenses'!G15:G18)</f>
        <v>740</v>
      </c>
      <c r="K17" s="22">
        <f>SUM('💸 Expenses'!G20:G22)</f>
        <v>350</v>
      </c>
      <c r="L17" s="22">
        <f>SUM('💸 Expenses'!G24:G28)</f>
        <v>525</v>
      </c>
    </row>
    <row r="18" spans="2:12" ht="18" customHeight="1" x14ac:dyDescent="0.35">
      <c r="B18" s="24" t="s">
        <v>24</v>
      </c>
      <c r="C18" s="25">
        <f>'📥 Income'!H11</f>
        <v>11600</v>
      </c>
      <c r="D18" s="25">
        <f>'💸 Expenses'!H29</f>
        <v>4820</v>
      </c>
      <c r="E18" s="25">
        <f t="shared" si="0"/>
        <v>6780</v>
      </c>
      <c r="F18" s="26">
        <f t="shared" si="1"/>
        <v>0.58448275862068966</v>
      </c>
      <c r="G18" s="25">
        <f t="shared" si="2"/>
        <v>28005</v>
      </c>
      <c r="H18" s="25">
        <f>SUM('💸 Expenses'!H6:H9)</f>
        <v>2155</v>
      </c>
      <c r="I18" s="25">
        <f>SUM('💸 Expenses'!H11:H13)</f>
        <v>850</v>
      </c>
      <c r="J18" s="25">
        <f>SUM('💸 Expenses'!H15:H18)</f>
        <v>770</v>
      </c>
      <c r="K18" s="25">
        <f>SUM('💸 Expenses'!H20:H22)</f>
        <v>550</v>
      </c>
      <c r="L18" s="25">
        <f>SUM('💸 Expenses'!H24:H28)</f>
        <v>495</v>
      </c>
    </row>
    <row r="19" spans="2:12" ht="18" customHeight="1" x14ac:dyDescent="0.35">
      <c r="B19" s="21" t="s">
        <v>25</v>
      </c>
      <c r="C19" s="22">
        <f>'📥 Income'!I11</f>
        <v>8500</v>
      </c>
      <c r="D19" s="22">
        <f>'💸 Expenses'!I29</f>
        <v>5035</v>
      </c>
      <c r="E19" s="22">
        <f t="shared" si="0"/>
        <v>3465</v>
      </c>
      <c r="F19" s="23">
        <f t="shared" si="1"/>
        <v>0.40764705882352942</v>
      </c>
      <c r="G19" s="22">
        <f t="shared" si="2"/>
        <v>31470</v>
      </c>
      <c r="H19" s="22">
        <f>SUM('💸 Expenses'!I6:I9)</f>
        <v>2170</v>
      </c>
      <c r="I19" s="22">
        <f>SUM('💸 Expenses'!I11:I13)</f>
        <v>910</v>
      </c>
      <c r="J19" s="22">
        <f>SUM('💸 Expenses'!I15:I18)</f>
        <v>780</v>
      </c>
      <c r="K19" s="22">
        <f>SUM('💸 Expenses'!I20:I22)</f>
        <v>350</v>
      </c>
      <c r="L19" s="22">
        <f>SUM('💸 Expenses'!I24:I28)</f>
        <v>825</v>
      </c>
    </row>
    <row r="20" spans="2:12" ht="18" customHeight="1" x14ac:dyDescent="0.35">
      <c r="B20" s="24" t="s">
        <v>26</v>
      </c>
      <c r="C20" s="25">
        <f>'📥 Income'!J11</f>
        <v>8650</v>
      </c>
      <c r="D20" s="25">
        <f>'💸 Expenses'!J29</f>
        <v>4535</v>
      </c>
      <c r="E20" s="25">
        <f t="shared" si="0"/>
        <v>4115</v>
      </c>
      <c r="F20" s="26">
        <f t="shared" si="1"/>
        <v>0.47572254335260117</v>
      </c>
      <c r="G20" s="25">
        <f t="shared" si="2"/>
        <v>35585</v>
      </c>
      <c r="H20" s="25">
        <f>SUM('💸 Expenses'!J6:J9)</f>
        <v>2180</v>
      </c>
      <c r="I20" s="25">
        <f>SUM('💸 Expenses'!J11:J13)</f>
        <v>835</v>
      </c>
      <c r="J20" s="25">
        <f>SUM('💸 Expenses'!J15:J18)</f>
        <v>775</v>
      </c>
      <c r="K20" s="25">
        <f>SUM('💸 Expenses'!J20:J22)</f>
        <v>350</v>
      </c>
      <c r="L20" s="25">
        <f>SUM('💸 Expenses'!J24:J28)</f>
        <v>395</v>
      </c>
    </row>
    <row r="21" spans="2:12" ht="18" customHeight="1" x14ac:dyDescent="0.35">
      <c r="B21" s="21" t="s">
        <v>27</v>
      </c>
      <c r="C21" s="22">
        <f>'📥 Income'!K11</f>
        <v>8800</v>
      </c>
      <c r="D21" s="22">
        <f>'💸 Expenses'!K29</f>
        <v>4500</v>
      </c>
      <c r="E21" s="22">
        <f t="shared" si="0"/>
        <v>4300</v>
      </c>
      <c r="F21" s="23">
        <f t="shared" si="1"/>
        <v>0.48863636363636365</v>
      </c>
      <c r="G21" s="22">
        <f t="shared" si="2"/>
        <v>39885</v>
      </c>
      <c r="H21" s="22">
        <f>SUM('💸 Expenses'!K6:K9)</f>
        <v>2175</v>
      </c>
      <c r="I21" s="22">
        <f>SUM('💸 Expenses'!K11:K13)</f>
        <v>750</v>
      </c>
      <c r="J21" s="22">
        <f>SUM('💸 Expenses'!K15:K18)</f>
        <v>765</v>
      </c>
      <c r="K21" s="22">
        <f>SUM('💸 Expenses'!K20:K22)</f>
        <v>450</v>
      </c>
      <c r="L21" s="22">
        <f>SUM('💸 Expenses'!K24:K28)</f>
        <v>360</v>
      </c>
    </row>
    <row r="22" spans="2:12" ht="18" customHeight="1" x14ac:dyDescent="0.35">
      <c r="B22" s="24" t="s">
        <v>28</v>
      </c>
      <c r="C22" s="25">
        <f>'📥 Income'!L11</f>
        <v>8550</v>
      </c>
      <c r="D22" s="25">
        <f>'💸 Expenses'!L29</f>
        <v>4470</v>
      </c>
      <c r="E22" s="25">
        <f t="shared" si="0"/>
        <v>4080</v>
      </c>
      <c r="F22" s="26">
        <f t="shared" si="1"/>
        <v>0.47719298245614034</v>
      </c>
      <c r="G22" s="25">
        <f t="shared" si="2"/>
        <v>43965</v>
      </c>
      <c r="H22" s="25">
        <f>SUM('💸 Expenses'!L6:L9)</f>
        <v>2165</v>
      </c>
      <c r="I22" s="25">
        <f>SUM('💸 Expenses'!L11:L13)</f>
        <v>710</v>
      </c>
      <c r="J22" s="25">
        <f>SUM('💸 Expenses'!L15:L18)</f>
        <v>755</v>
      </c>
      <c r="K22" s="25">
        <f>SUM('💸 Expenses'!L20:L22)</f>
        <v>350</v>
      </c>
      <c r="L22" s="25">
        <f>SUM('💸 Expenses'!L24:L28)</f>
        <v>490</v>
      </c>
    </row>
    <row r="23" spans="2:12" ht="18" customHeight="1" x14ac:dyDescent="0.35">
      <c r="B23" s="21" t="s">
        <v>29</v>
      </c>
      <c r="C23" s="22">
        <f>'📥 Income'!M11</f>
        <v>8900</v>
      </c>
      <c r="D23" s="22">
        <f>'💸 Expenses'!M29</f>
        <v>4485</v>
      </c>
      <c r="E23" s="22">
        <f t="shared" si="0"/>
        <v>4415</v>
      </c>
      <c r="F23" s="23">
        <f t="shared" si="1"/>
        <v>0.49606741573033708</v>
      </c>
      <c r="G23" s="22">
        <f t="shared" si="2"/>
        <v>48380</v>
      </c>
      <c r="H23" s="22">
        <f>SUM('💸 Expenses'!M6:M9)</f>
        <v>2185</v>
      </c>
      <c r="I23" s="22">
        <f>SUM('💸 Expenses'!M11:M13)</f>
        <v>785</v>
      </c>
      <c r="J23" s="22">
        <f>SUM('💸 Expenses'!M15:M18)</f>
        <v>770</v>
      </c>
      <c r="K23" s="22">
        <f>SUM('💸 Expenses'!M20:M22)</f>
        <v>350</v>
      </c>
      <c r="L23" s="22">
        <f>SUM('💸 Expenses'!M24:M28)</f>
        <v>395</v>
      </c>
    </row>
    <row r="24" spans="2:12" ht="18" customHeight="1" x14ac:dyDescent="0.35">
      <c r="B24" s="24" t="s">
        <v>30</v>
      </c>
      <c r="C24" s="25">
        <f>'📥 Income'!N11</f>
        <v>12000</v>
      </c>
      <c r="D24" s="25">
        <f>'💸 Expenses'!N29</f>
        <v>5005</v>
      </c>
      <c r="E24" s="25">
        <f t="shared" si="0"/>
        <v>6995</v>
      </c>
      <c r="F24" s="26">
        <f t="shared" si="1"/>
        <v>0.58291666666666664</v>
      </c>
      <c r="G24" s="25">
        <f t="shared" si="2"/>
        <v>55375</v>
      </c>
      <c r="H24" s="25">
        <f>SUM('💸 Expenses'!N6:N9)</f>
        <v>2200</v>
      </c>
      <c r="I24" s="25">
        <f>SUM('💸 Expenses'!N11:N13)</f>
        <v>955</v>
      </c>
      <c r="J24" s="25">
        <f>SUM('💸 Expenses'!N15:N18)</f>
        <v>785</v>
      </c>
      <c r="K24" s="25">
        <f>SUM('💸 Expenses'!N20:N22)</f>
        <v>350</v>
      </c>
      <c r="L24" s="25">
        <f>SUM('💸 Expenses'!N24:N28)</f>
        <v>715</v>
      </c>
    </row>
    <row r="25" spans="2:12" ht="21.75" customHeight="1" x14ac:dyDescent="0.35">
      <c r="B25" s="27" t="s">
        <v>31</v>
      </c>
      <c r="C25" s="28">
        <f>SUM(C13:C24)</f>
        <v>110500</v>
      </c>
      <c r="D25" s="28">
        <f>SUM(D13:D24)</f>
        <v>55125</v>
      </c>
      <c r="E25" s="28">
        <f>SUM(E13:E24)</f>
        <v>55375</v>
      </c>
      <c r="F25" s="29">
        <f t="shared" si="1"/>
        <v>0.50113122171945701</v>
      </c>
      <c r="G25" s="28">
        <f>G24</f>
        <v>55375</v>
      </c>
      <c r="H25" s="28">
        <f>SUM(H13:H24)</f>
        <v>26065</v>
      </c>
      <c r="I25" s="28">
        <f>SUM(I13:I24)</f>
        <v>9400</v>
      </c>
      <c r="J25" s="28">
        <f>SUM(J13:J24)</f>
        <v>9170</v>
      </c>
      <c r="K25" s="28">
        <f>SUM(K13:K24)</f>
        <v>4650</v>
      </c>
      <c r="L25" s="28">
        <f>SUM(L13:L24)</f>
        <v>5840</v>
      </c>
    </row>
    <row r="26" spans="2:12" ht="19.5" customHeight="1" x14ac:dyDescent="0.35"/>
    <row r="27" spans="2:12" ht="25.5" customHeight="1" x14ac:dyDescent="0.35">
      <c r="B27" s="2" t="s">
        <v>32</v>
      </c>
      <c r="C27" s="2"/>
      <c r="D27" s="2"/>
      <c r="E27" s="2"/>
      <c r="F27" s="2"/>
      <c r="G27" s="2"/>
      <c r="H27" s="2"/>
      <c r="I27" s="2"/>
      <c r="J27" s="2"/>
      <c r="K27" s="2"/>
      <c r="L27" s="2"/>
    </row>
    <row r="28" spans="2:12" ht="19.5" customHeight="1" x14ac:dyDescent="0.35"/>
    <row r="29" spans="2:12" ht="19.5" customHeight="1" x14ac:dyDescent="0.35"/>
    <row r="30" spans="2:12" ht="19.5" customHeight="1" x14ac:dyDescent="0.35"/>
    <row r="31" spans="2:12" ht="19.5" customHeight="1" x14ac:dyDescent="0.35"/>
    <row r="32" spans="2:12" ht="19.5" customHeight="1" x14ac:dyDescent="0.35"/>
    <row r="33" ht="19.5" customHeight="1" x14ac:dyDescent="0.35"/>
    <row r="34" ht="19.5" customHeight="1" x14ac:dyDescent="0.35"/>
    <row r="35" ht="19.5" customHeight="1" x14ac:dyDescent="0.35"/>
    <row r="36" ht="19.5" customHeight="1" x14ac:dyDescent="0.35"/>
    <row r="37" ht="19.5" customHeight="1" x14ac:dyDescent="0.35"/>
    <row r="38" ht="19.5" customHeight="1" x14ac:dyDescent="0.35"/>
    <row r="39" ht="19.5" customHeight="1" x14ac:dyDescent="0.35"/>
    <row r="40" ht="19.5" customHeight="1" x14ac:dyDescent="0.35"/>
    <row r="41" ht="19.5" customHeight="1" x14ac:dyDescent="0.35"/>
    <row r="42" ht="19.5" customHeight="1" x14ac:dyDescent="0.35"/>
    <row r="43" ht="19.5" customHeight="1" x14ac:dyDescent="0.35"/>
    <row r="44" ht="19.5" customHeight="1" x14ac:dyDescent="0.35"/>
    <row r="45" ht="19.5" customHeight="1" x14ac:dyDescent="0.35"/>
    <row r="46" ht="19.5" customHeight="1" x14ac:dyDescent="0.35"/>
    <row r="47" ht="19.5" customHeight="1" x14ac:dyDescent="0.35"/>
    <row r="48" ht="19.5" customHeight="1" x14ac:dyDescent="0.35"/>
    <row r="49" ht="19.5" customHeight="1" x14ac:dyDescent="0.35"/>
    <row r="50" ht="19.5" customHeight="1" x14ac:dyDescent="0.35"/>
    <row r="51" ht="19.5" customHeight="1" x14ac:dyDescent="0.35"/>
    <row r="52" ht="19.5" customHeight="1" x14ac:dyDescent="0.35"/>
    <row r="53" ht="19.5" customHeight="1" x14ac:dyDescent="0.35"/>
    <row r="54" ht="19.5" customHeight="1" x14ac:dyDescent="0.35"/>
    <row r="55" ht="19.5" customHeight="1" x14ac:dyDescent="0.35"/>
    <row r="56" ht="19.5" customHeight="1" x14ac:dyDescent="0.35"/>
    <row r="57" ht="19.5" customHeight="1" x14ac:dyDescent="0.35"/>
    <row r="58" ht="19.5" customHeight="1" x14ac:dyDescent="0.35"/>
    <row r="59" ht="19.5" customHeight="1" x14ac:dyDescent="0.35"/>
    <row r="60" ht="19.5" customHeight="1" x14ac:dyDescent="0.35"/>
    <row r="61" ht="19.5" customHeight="1" x14ac:dyDescent="0.35"/>
    <row r="62" ht="19.5" customHeight="1" x14ac:dyDescent="0.35"/>
    <row r="63" ht="19.5" customHeight="1" x14ac:dyDescent="0.35"/>
    <row r="64" ht="19.5" customHeight="1" x14ac:dyDescent="0.35"/>
    <row r="65" ht="19.5" customHeight="1" x14ac:dyDescent="0.35"/>
    <row r="66" ht="19.5" customHeight="1" x14ac:dyDescent="0.35"/>
    <row r="67" ht="19.5" customHeight="1" x14ac:dyDescent="0.35"/>
    <row r="68" ht="19.5" customHeight="1" x14ac:dyDescent="0.35"/>
    <row r="69" ht="19.5" customHeight="1" x14ac:dyDescent="0.35"/>
    <row r="70" ht="19.5" customHeight="1" x14ac:dyDescent="0.35"/>
    <row r="71" ht="19.5" customHeight="1" x14ac:dyDescent="0.35"/>
    <row r="72" ht="19.5" customHeight="1" x14ac:dyDescent="0.35"/>
    <row r="73" ht="19.5" customHeight="1" x14ac:dyDescent="0.35"/>
    <row r="74" ht="19.5" customHeight="1" x14ac:dyDescent="0.35"/>
    <row r="75" ht="19.5" customHeight="1" x14ac:dyDescent="0.35"/>
    <row r="76" ht="19.5" customHeight="1" x14ac:dyDescent="0.35"/>
    <row r="77" ht="19.5" customHeight="1" x14ac:dyDescent="0.35"/>
    <row r="78" ht="19.5" customHeight="1" x14ac:dyDescent="0.35"/>
    <row r="79" ht="19.5" customHeight="1" x14ac:dyDescent="0.35"/>
  </sheetData>
  <sheetProtection algorithmName="SHA-512" hashValue="yqqIXYNc9OupVGRAKCGTwUPakoL1rXegDvURn7fmET3ho8PnHM2d+4v4zKOlrvxiAbyfg1NKhvGJRbyImsOqRg==" saltValue="f40p6N/ADv2hzlI8QFKs+Q==" spinCount="100000" sheet="1" objects="1" scenarios="1"/>
  <mergeCells count="14">
    <mergeCell ref="B11:L11"/>
    <mergeCell ref="B27:L27"/>
    <mergeCell ref="B7:C7"/>
    <mergeCell ref="D7:E7"/>
    <mergeCell ref="F7:G7"/>
    <mergeCell ref="H7:I7"/>
    <mergeCell ref="J7:K7"/>
    <mergeCell ref="B2:L2"/>
    <mergeCell ref="B3:L3"/>
    <mergeCell ref="B6:C6"/>
    <mergeCell ref="D6:E6"/>
    <mergeCell ref="F6:G6"/>
    <mergeCell ref="H6:I6"/>
    <mergeCell ref="J6:K6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D7D46"/>
  </sheetPr>
  <dimension ref="B1:P12"/>
  <sheetViews>
    <sheetView showGridLines="0"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F7" sqref="F7"/>
    </sheetView>
  </sheetViews>
  <sheetFormatPr defaultColWidth="8.6328125" defaultRowHeight="14.5" x14ac:dyDescent="0.35"/>
  <cols>
    <col min="1" max="1" width="2" customWidth="1"/>
    <col min="2" max="2" width="26" customWidth="1"/>
    <col min="3" max="14" width="12" customWidth="1"/>
    <col min="15" max="15" width="14" customWidth="1"/>
    <col min="16" max="16" width="12" customWidth="1"/>
  </cols>
  <sheetData>
    <row r="1" spans="2:16" ht="39.75" customHeight="1" x14ac:dyDescent="0.35">
      <c r="B1" s="1" t="s">
        <v>33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2:16" x14ac:dyDescent="0.35">
      <c r="B2" s="76" t="s">
        <v>34</v>
      </c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</row>
    <row r="4" spans="2:16" ht="24" customHeight="1" x14ac:dyDescent="0.35">
      <c r="B4" s="30" t="s">
        <v>35</v>
      </c>
      <c r="C4" s="31" t="s">
        <v>19</v>
      </c>
      <c r="D4" s="31" t="s">
        <v>20</v>
      </c>
      <c r="E4" s="31" t="s">
        <v>21</v>
      </c>
      <c r="F4" s="31" t="s">
        <v>22</v>
      </c>
      <c r="G4" s="31" t="s">
        <v>23</v>
      </c>
      <c r="H4" s="31" t="s">
        <v>24</v>
      </c>
      <c r="I4" s="31" t="s">
        <v>25</v>
      </c>
      <c r="J4" s="31" t="s">
        <v>26</v>
      </c>
      <c r="K4" s="31" t="s">
        <v>27</v>
      </c>
      <c r="L4" s="31" t="s">
        <v>28</v>
      </c>
      <c r="M4" s="31" t="s">
        <v>29</v>
      </c>
      <c r="N4" s="31" t="s">
        <v>30</v>
      </c>
      <c r="O4" s="32" t="s">
        <v>36</v>
      </c>
      <c r="P4" s="32" t="s">
        <v>37</v>
      </c>
    </row>
    <row r="5" spans="2:16" ht="19.5" customHeight="1" x14ac:dyDescent="0.35">
      <c r="B5" s="33" t="s">
        <v>38</v>
      </c>
      <c r="C5" s="34">
        <v>6500</v>
      </c>
      <c r="D5" s="34">
        <v>6500</v>
      </c>
      <c r="E5" s="34">
        <v>6500</v>
      </c>
      <c r="F5" s="34">
        <v>6500</v>
      </c>
      <c r="G5" s="34">
        <v>6500</v>
      </c>
      <c r="H5" s="34">
        <v>6500</v>
      </c>
      <c r="I5" s="34">
        <v>6500</v>
      </c>
      <c r="J5" s="34">
        <v>6500</v>
      </c>
      <c r="K5" s="34">
        <v>6500</v>
      </c>
      <c r="L5" s="34">
        <v>6500</v>
      </c>
      <c r="M5" s="34">
        <v>6500</v>
      </c>
      <c r="N5" s="34">
        <v>6500</v>
      </c>
      <c r="O5" s="35">
        <f t="shared" ref="O5:O10" si="0">SUM(C5:N5)</f>
        <v>78000</v>
      </c>
      <c r="P5" s="36">
        <f>IF(O16=0,0,O5/O16)</f>
        <v>0</v>
      </c>
    </row>
    <row r="6" spans="2:16" ht="19.5" customHeight="1" x14ac:dyDescent="0.35">
      <c r="B6" s="37" t="s">
        <v>39</v>
      </c>
      <c r="C6" s="34">
        <v>0</v>
      </c>
      <c r="D6" s="34">
        <v>0</v>
      </c>
      <c r="E6" s="34">
        <v>0</v>
      </c>
      <c r="F6" s="34">
        <v>0</v>
      </c>
      <c r="G6" s="34">
        <v>0</v>
      </c>
      <c r="H6" s="34">
        <v>2500</v>
      </c>
      <c r="I6" s="34">
        <v>0</v>
      </c>
      <c r="J6" s="34">
        <v>0</v>
      </c>
      <c r="K6" s="34">
        <v>0</v>
      </c>
      <c r="L6" s="34">
        <v>0</v>
      </c>
      <c r="M6" s="34">
        <v>0</v>
      </c>
      <c r="N6" s="34">
        <v>3000</v>
      </c>
      <c r="O6" s="35">
        <f t="shared" si="0"/>
        <v>5500</v>
      </c>
      <c r="P6" s="38">
        <f>IF(O16=0,0,O6/O16)</f>
        <v>0</v>
      </c>
    </row>
    <row r="7" spans="2:16" ht="19.5" customHeight="1" x14ac:dyDescent="0.35">
      <c r="B7" s="33" t="s">
        <v>40</v>
      </c>
      <c r="C7" s="34">
        <v>800</v>
      </c>
      <c r="D7" s="34">
        <v>600</v>
      </c>
      <c r="E7" s="34">
        <v>950</v>
      </c>
      <c r="F7" s="34">
        <v>700</v>
      </c>
      <c r="G7" s="34">
        <v>800</v>
      </c>
      <c r="H7" s="34">
        <v>1200</v>
      </c>
      <c r="I7" s="34">
        <v>600</v>
      </c>
      <c r="J7" s="34">
        <v>750</v>
      </c>
      <c r="K7" s="34">
        <v>900</v>
      </c>
      <c r="L7" s="34">
        <v>650</v>
      </c>
      <c r="M7" s="34">
        <v>800</v>
      </c>
      <c r="N7" s="34">
        <v>1100</v>
      </c>
      <c r="O7" s="35">
        <f t="shared" si="0"/>
        <v>9850</v>
      </c>
      <c r="P7" s="36">
        <f>IF(O16=0,0,O7/O16)</f>
        <v>0</v>
      </c>
    </row>
    <row r="8" spans="2:16" ht="19.5" customHeight="1" x14ac:dyDescent="0.35">
      <c r="B8" s="37" t="s">
        <v>41</v>
      </c>
      <c r="C8" s="34">
        <v>200</v>
      </c>
      <c r="D8" s="34">
        <v>200</v>
      </c>
      <c r="E8" s="34">
        <v>200</v>
      </c>
      <c r="F8" s="34">
        <v>200</v>
      </c>
      <c r="G8" s="34">
        <v>200</v>
      </c>
      <c r="H8" s="34">
        <v>200</v>
      </c>
      <c r="I8" s="34">
        <v>200</v>
      </c>
      <c r="J8" s="34">
        <v>200</v>
      </c>
      <c r="K8" s="34">
        <v>200</v>
      </c>
      <c r="L8" s="34">
        <v>200</v>
      </c>
      <c r="M8" s="34">
        <v>200</v>
      </c>
      <c r="N8" s="34">
        <v>200</v>
      </c>
      <c r="O8" s="35">
        <f t="shared" si="0"/>
        <v>2400</v>
      </c>
      <c r="P8" s="38">
        <f>IF(O16=0,0,O8/O16)</f>
        <v>0</v>
      </c>
    </row>
    <row r="9" spans="2:16" ht="19.5" customHeight="1" x14ac:dyDescent="0.35">
      <c r="B9" s="33" t="s">
        <v>42</v>
      </c>
      <c r="C9" s="34">
        <v>1200</v>
      </c>
      <c r="D9" s="34">
        <v>1200</v>
      </c>
      <c r="E9" s="34">
        <v>1200</v>
      </c>
      <c r="F9" s="34">
        <v>1200</v>
      </c>
      <c r="G9" s="34">
        <v>1200</v>
      </c>
      <c r="H9" s="34">
        <v>1200</v>
      </c>
      <c r="I9" s="34">
        <v>1200</v>
      </c>
      <c r="J9" s="34">
        <v>1200</v>
      </c>
      <c r="K9" s="34">
        <v>1200</v>
      </c>
      <c r="L9" s="34">
        <v>1200</v>
      </c>
      <c r="M9" s="34">
        <v>1200</v>
      </c>
      <c r="N9" s="34">
        <v>1200</v>
      </c>
      <c r="O9" s="35">
        <f t="shared" si="0"/>
        <v>14400</v>
      </c>
      <c r="P9" s="36">
        <f>IF(O16=0,0,O9/O16)</f>
        <v>0</v>
      </c>
    </row>
    <row r="10" spans="2:16" ht="19.5" customHeight="1" x14ac:dyDescent="0.35">
      <c r="B10" s="37" t="s">
        <v>43</v>
      </c>
      <c r="C10" s="34">
        <v>0</v>
      </c>
      <c r="D10" s="34">
        <v>0</v>
      </c>
      <c r="E10" s="34">
        <v>150</v>
      </c>
      <c r="F10" s="34">
        <v>0</v>
      </c>
      <c r="G10" s="34">
        <v>0</v>
      </c>
      <c r="H10" s="34">
        <v>0</v>
      </c>
      <c r="I10" s="34">
        <v>0</v>
      </c>
      <c r="J10" s="34">
        <v>0</v>
      </c>
      <c r="K10" s="34">
        <v>0</v>
      </c>
      <c r="L10" s="34">
        <v>0</v>
      </c>
      <c r="M10" s="34">
        <v>200</v>
      </c>
      <c r="N10" s="34">
        <v>0</v>
      </c>
      <c r="O10" s="35">
        <f t="shared" si="0"/>
        <v>350</v>
      </c>
      <c r="P10" s="38">
        <f>IF(O16=0,0,O10/O16)</f>
        <v>0</v>
      </c>
    </row>
    <row r="11" spans="2:16" ht="24" customHeight="1" x14ac:dyDescent="0.35">
      <c r="B11" s="39" t="s">
        <v>2</v>
      </c>
      <c r="C11" s="40">
        <f t="shared" ref="C11:O11" si="1">SUM(C5:C10)</f>
        <v>8700</v>
      </c>
      <c r="D11" s="40">
        <f t="shared" si="1"/>
        <v>8500</v>
      </c>
      <c r="E11" s="40">
        <f t="shared" si="1"/>
        <v>9000</v>
      </c>
      <c r="F11" s="40">
        <f t="shared" si="1"/>
        <v>8600</v>
      </c>
      <c r="G11" s="40">
        <f t="shared" si="1"/>
        <v>8700</v>
      </c>
      <c r="H11" s="40">
        <f t="shared" si="1"/>
        <v>11600</v>
      </c>
      <c r="I11" s="40">
        <f t="shared" si="1"/>
        <v>8500</v>
      </c>
      <c r="J11" s="40">
        <f t="shared" si="1"/>
        <v>8650</v>
      </c>
      <c r="K11" s="40">
        <f t="shared" si="1"/>
        <v>8800</v>
      </c>
      <c r="L11" s="40">
        <f t="shared" si="1"/>
        <v>8550</v>
      </c>
      <c r="M11" s="40">
        <f t="shared" si="1"/>
        <v>8900</v>
      </c>
      <c r="N11" s="40">
        <f t="shared" si="1"/>
        <v>12000</v>
      </c>
      <c r="O11" s="41">
        <f t="shared" si="1"/>
        <v>110500</v>
      </c>
      <c r="P11" s="42" t="s">
        <v>44</v>
      </c>
    </row>
    <row r="12" spans="2:16" ht="6" customHeight="1" x14ac:dyDescent="0.35"/>
  </sheetData>
  <sheetProtection algorithmName="SHA-512" hashValue="gy/UrLuuy9HAhoPfuPuZPvN198Z0OqYn8RIcKVnFoVUCSkbplgydDG2L6Rp5wXx0cnfpo94unEzr5ZJt+z1ZiQ==" saltValue="+slBAi4uhoAK1urXS9njmA==" spinCount="100000" sheet="1" objects="1" scenarios="1"/>
  <mergeCells count="2">
    <mergeCell ref="B1:P1"/>
    <mergeCell ref="B2:P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0392B"/>
  </sheetPr>
  <dimension ref="B1:Q29"/>
  <sheetViews>
    <sheetView showGridLines="0"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E13" sqref="E13"/>
    </sheetView>
  </sheetViews>
  <sheetFormatPr defaultColWidth="8.6328125" defaultRowHeight="14.5" x14ac:dyDescent="0.35"/>
  <cols>
    <col min="1" max="1" width="2" customWidth="1"/>
    <col min="2" max="2" width="26" customWidth="1"/>
    <col min="3" max="14" width="12" customWidth="1"/>
    <col min="15" max="15" width="14" customWidth="1"/>
    <col min="16" max="16" width="12" customWidth="1"/>
    <col min="17" max="17" width="14" customWidth="1"/>
  </cols>
  <sheetData>
    <row r="1" spans="2:17" ht="39.75" customHeight="1" x14ac:dyDescent="0.35">
      <c r="B1" s="77" t="s">
        <v>45</v>
      </c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</row>
    <row r="2" spans="2:17" x14ac:dyDescent="0.35">
      <c r="B2" s="78" t="s">
        <v>46</v>
      </c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  <c r="Q2" s="78"/>
    </row>
    <row r="4" spans="2:17" ht="24" customHeight="1" x14ac:dyDescent="0.35">
      <c r="B4" s="30" t="s">
        <v>47</v>
      </c>
      <c r="C4" s="31" t="s">
        <v>19</v>
      </c>
      <c r="D4" s="31" t="s">
        <v>20</v>
      </c>
      <c r="E4" s="31" t="s">
        <v>21</v>
      </c>
      <c r="F4" s="31" t="s">
        <v>22</v>
      </c>
      <c r="G4" s="31" t="s">
        <v>23</v>
      </c>
      <c r="H4" s="31" t="s">
        <v>24</v>
      </c>
      <c r="I4" s="31" t="s">
        <v>25</v>
      </c>
      <c r="J4" s="31" t="s">
        <v>26</v>
      </c>
      <c r="K4" s="31" t="s">
        <v>27</v>
      </c>
      <c r="L4" s="31" t="s">
        <v>28</v>
      </c>
      <c r="M4" s="31" t="s">
        <v>29</v>
      </c>
      <c r="N4" s="31" t="s">
        <v>30</v>
      </c>
      <c r="O4" s="32" t="s">
        <v>36</v>
      </c>
      <c r="P4" s="32" t="s">
        <v>37</v>
      </c>
      <c r="Q4" s="43" t="s">
        <v>48</v>
      </c>
    </row>
    <row r="5" spans="2:17" ht="19.5" customHeight="1" x14ac:dyDescent="0.35">
      <c r="B5" s="79" t="s">
        <v>49</v>
      </c>
      <c r="C5" s="79"/>
      <c r="D5" s="79"/>
      <c r="E5" s="79"/>
      <c r="F5" s="79"/>
      <c r="G5" s="79"/>
      <c r="H5" s="79"/>
      <c r="I5" s="79"/>
      <c r="J5" s="79"/>
      <c r="K5" s="79"/>
      <c r="L5" s="79"/>
      <c r="M5" s="79"/>
      <c r="N5" s="79"/>
      <c r="O5" s="79"/>
      <c r="P5" s="79"/>
      <c r="Q5" s="79"/>
    </row>
    <row r="6" spans="2:17" ht="19.5" customHeight="1" x14ac:dyDescent="0.35">
      <c r="B6" s="37" t="s">
        <v>50</v>
      </c>
      <c r="C6" s="34">
        <v>1800</v>
      </c>
      <c r="D6" s="34">
        <v>1800</v>
      </c>
      <c r="E6" s="34">
        <v>1800</v>
      </c>
      <c r="F6" s="34">
        <v>1800</v>
      </c>
      <c r="G6" s="34">
        <v>1800</v>
      </c>
      <c r="H6" s="34">
        <v>1800</v>
      </c>
      <c r="I6" s="34">
        <v>1800</v>
      </c>
      <c r="J6" s="34">
        <v>1800</v>
      </c>
      <c r="K6" s="34">
        <v>1800</v>
      </c>
      <c r="L6" s="34">
        <v>1800</v>
      </c>
      <c r="M6" s="34">
        <v>1800</v>
      </c>
      <c r="N6" s="34">
        <v>1800</v>
      </c>
      <c r="O6" s="35">
        <f>SUM(C6:N6)</f>
        <v>21600</v>
      </c>
      <c r="P6" s="44">
        <f>IF(O29=0,0,O6/O29)</f>
        <v>0.39183673469387753</v>
      </c>
      <c r="Q6" s="45">
        <v>21600</v>
      </c>
    </row>
    <row r="7" spans="2:17" ht="19.5" customHeight="1" x14ac:dyDescent="0.35">
      <c r="B7" s="33" t="s">
        <v>51</v>
      </c>
      <c r="C7" s="34">
        <v>180</v>
      </c>
      <c r="D7" s="34">
        <v>160</v>
      </c>
      <c r="E7" s="34">
        <v>150</v>
      </c>
      <c r="F7" s="34">
        <v>155</v>
      </c>
      <c r="G7" s="34">
        <v>140</v>
      </c>
      <c r="H7" s="34">
        <v>145</v>
      </c>
      <c r="I7" s="34">
        <v>160</v>
      </c>
      <c r="J7" s="34">
        <v>170</v>
      </c>
      <c r="K7" s="34">
        <v>165</v>
      </c>
      <c r="L7" s="34">
        <v>155</v>
      </c>
      <c r="M7" s="34">
        <v>175</v>
      </c>
      <c r="N7" s="34">
        <v>190</v>
      </c>
      <c r="O7" s="35">
        <f>SUM(C7:N7)</f>
        <v>1945</v>
      </c>
      <c r="P7" s="46">
        <f>IF(O29=0,0,O7/O29)</f>
        <v>3.5283446712018142E-2</v>
      </c>
      <c r="Q7" s="45">
        <v>1950</v>
      </c>
    </row>
    <row r="8" spans="2:17" ht="19.5" customHeight="1" x14ac:dyDescent="0.35">
      <c r="B8" s="37" t="s">
        <v>52</v>
      </c>
      <c r="C8" s="34">
        <v>90</v>
      </c>
      <c r="D8" s="34">
        <v>90</v>
      </c>
      <c r="E8" s="34">
        <v>90</v>
      </c>
      <c r="F8" s="34">
        <v>90</v>
      </c>
      <c r="G8" s="34">
        <v>90</v>
      </c>
      <c r="H8" s="34">
        <v>90</v>
      </c>
      <c r="I8" s="34">
        <v>90</v>
      </c>
      <c r="J8" s="34">
        <v>90</v>
      </c>
      <c r="K8" s="34">
        <v>90</v>
      </c>
      <c r="L8" s="34">
        <v>90</v>
      </c>
      <c r="M8" s="34">
        <v>90</v>
      </c>
      <c r="N8" s="34">
        <v>90</v>
      </c>
      <c r="O8" s="35">
        <f>SUM(C8:N8)</f>
        <v>1080</v>
      </c>
      <c r="P8" s="44">
        <f>IF(O29=0,0,O8/O29)</f>
        <v>1.9591836734693877E-2</v>
      </c>
      <c r="Q8" s="45">
        <v>1080</v>
      </c>
    </row>
    <row r="9" spans="2:17" ht="19.5" customHeight="1" x14ac:dyDescent="0.35">
      <c r="B9" s="33" t="s">
        <v>53</v>
      </c>
      <c r="C9" s="34">
        <v>120</v>
      </c>
      <c r="D9" s="34">
        <v>120</v>
      </c>
      <c r="E9" s="34">
        <v>120</v>
      </c>
      <c r="F9" s="34">
        <v>120</v>
      </c>
      <c r="G9" s="34">
        <v>120</v>
      </c>
      <c r="H9" s="34">
        <v>120</v>
      </c>
      <c r="I9" s="34">
        <v>120</v>
      </c>
      <c r="J9" s="34">
        <v>120</v>
      </c>
      <c r="K9" s="34">
        <v>120</v>
      </c>
      <c r="L9" s="34">
        <v>120</v>
      </c>
      <c r="M9" s="34">
        <v>120</v>
      </c>
      <c r="N9" s="34">
        <v>120</v>
      </c>
      <c r="O9" s="35">
        <f>SUM(C9:N9)</f>
        <v>1440</v>
      </c>
      <c r="P9" s="46">
        <f>IF(O29=0,0,O9/O29)</f>
        <v>2.6122448979591838E-2</v>
      </c>
      <c r="Q9" s="45">
        <v>1440</v>
      </c>
    </row>
    <row r="10" spans="2:17" ht="19.5" customHeight="1" x14ac:dyDescent="0.35">
      <c r="B10" s="79" t="s">
        <v>54</v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</row>
    <row r="11" spans="2:17" ht="19.5" customHeight="1" x14ac:dyDescent="0.35">
      <c r="B11" s="37" t="s">
        <v>55</v>
      </c>
      <c r="C11" s="34">
        <v>450</v>
      </c>
      <c r="D11" s="34">
        <v>430</v>
      </c>
      <c r="E11" s="34">
        <v>460</v>
      </c>
      <c r="F11" s="34">
        <v>440</v>
      </c>
      <c r="G11" s="34">
        <v>420</v>
      </c>
      <c r="H11" s="34">
        <v>480</v>
      </c>
      <c r="I11" s="34">
        <v>500</v>
      </c>
      <c r="J11" s="34">
        <v>490</v>
      </c>
      <c r="K11" s="34">
        <v>455</v>
      </c>
      <c r="L11" s="34">
        <v>445</v>
      </c>
      <c r="M11" s="34">
        <v>470</v>
      </c>
      <c r="N11" s="34">
        <v>510</v>
      </c>
      <c r="O11" s="35">
        <f>SUM(C11:N11)</f>
        <v>5550</v>
      </c>
      <c r="P11" s="44">
        <f>IF(O29=0,0,O11/O29)</f>
        <v>0.10068027210884353</v>
      </c>
      <c r="Q11" s="45">
        <v>5550</v>
      </c>
    </row>
    <row r="12" spans="2:17" ht="19.5" customHeight="1" x14ac:dyDescent="0.35">
      <c r="B12" s="33" t="s">
        <v>56</v>
      </c>
      <c r="C12" s="34">
        <v>220</v>
      </c>
      <c r="D12" s="34">
        <v>180</v>
      </c>
      <c r="E12" s="34">
        <v>240</v>
      </c>
      <c r="F12" s="34">
        <v>200</v>
      </c>
      <c r="G12" s="34">
        <v>190</v>
      </c>
      <c r="H12" s="34">
        <v>280</v>
      </c>
      <c r="I12" s="34">
        <v>310</v>
      </c>
      <c r="J12" s="34">
        <v>260</v>
      </c>
      <c r="K12" s="34">
        <v>215</v>
      </c>
      <c r="L12" s="34">
        <v>195</v>
      </c>
      <c r="M12" s="34">
        <v>230</v>
      </c>
      <c r="N12" s="34">
        <v>350</v>
      </c>
      <c r="O12" s="35">
        <f>SUM(C12:N12)</f>
        <v>2870</v>
      </c>
      <c r="P12" s="46">
        <f>IF(O29=0,0,O12/O29)</f>
        <v>5.2063492063492062E-2</v>
      </c>
      <c r="Q12" s="45">
        <v>2870</v>
      </c>
    </row>
    <row r="13" spans="2:17" ht="19.5" customHeight="1" x14ac:dyDescent="0.35">
      <c r="B13" s="37" t="s">
        <v>57</v>
      </c>
      <c r="C13" s="34">
        <v>80</v>
      </c>
      <c r="D13" s="34">
        <v>70</v>
      </c>
      <c r="E13" s="34">
        <v>85</v>
      </c>
      <c r="F13" s="34">
        <v>75</v>
      </c>
      <c r="G13" s="34">
        <v>65</v>
      </c>
      <c r="H13" s="34">
        <v>90</v>
      </c>
      <c r="I13" s="34">
        <v>100</v>
      </c>
      <c r="J13" s="34">
        <v>85</v>
      </c>
      <c r="K13" s="34">
        <v>80</v>
      </c>
      <c r="L13" s="34">
        <v>70</v>
      </c>
      <c r="M13" s="34">
        <v>85</v>
      </c>
      <c r="N13" s="34">
        <v>95</v>
      </c>
      <c r="O13" s="35">
        <f>SUM(C13:N13)</f>
        <v>980</v>
      </c>
      <c r="P13" s="44">
        <f>IF(O29=0,0,O13/O29)</f>
        <v>1.7777777777777778E-2</v>
      </c>
      <c r="Q13" s="45">
        <v>980</v>
      </c>
    </row>
    <row r="14" spans="2:17" ht="19.5" customHeight="1" x14ac:dyDescent="0.35">
      <c r="B14" s="79" t="s">
        <v>58</v>
      </c>
      <c r="C14" s="79"/>
      <c r="D14" s="79"/>
      <c r="E14" s="79"/>
      <c r="F14" s="79"/>
      <c r="G14" s="79"/>
      <c r="H14" s="79"/>
      <c r="I14" s="79"/>
      <c r="J14" s="79"/>
      <c r="K14" s="79"/>
      <c r="L14" s="79"/>
      <c r="M14" s="79"/>
      <c r="N14" s="79"/>
      <c r="O14" s="79"/>
      <c r="P14" s="79"/>
      <c r="Q14" s="79"/>
    </row>
    <row r="15" spans="2:17" ht="19.5" customHeight="1" x14ac:dyDescent="0.35">
      <c r="B15" s="33" t="s">
        <v>59</v>
      </c>
      <c r="C15" s="34">
        <v>450</v>
      </c>
      <c r="D15" s="34">
        <v>450</v>
      </c>
      <c r="E15" s="34">
        <v>450</v>
      </c>
      <c r="F15" s="34">
        <v>450</v>
      </c>
      <c r="G15" s="34">
        <v>450</v>
      </c>
      <c r="H15" s="34">
        <v>450</v>
      </c>
      <c r="I15" s="34">
        <v>450</v>
      </c>
      <c r="J15" s="34">
        <v>450</v>
      </c>
      <c r="K15" s="34">
        <v>450</v>
      </c>
      <c r="L15" s="34">
        <v>450</v>
      </c>
      <c r="M15" s="34">
        <v>450</v>
      </c>
      <c r="N15" s="34">
        <v>450</v>
      </c>
      <c r="O15" s="35">
        <f>SUM(C15:N15)</f>
        <v>5400</v>
      </c>
      <c r="P15" s="46">
        <f>IF(O29=0,0,O15/O29)</f>
        <v>9.7959183673469383E-2</v>
      </c>
      <c r="Q15" s="45">
        <v>5400</v>
      </c>
    </row>
    <row r="16" spans="2:17" ht="19.5" customHeight="1" x14ac:dyDescent="0.35">
      <c r="B16" s="37" t="s">
        <v>60</v>
      </c>
      <c r="C16" s="34">
        <v>140</v>
      </c>
      <c r="D16" s="34">
        <v>130</v>
      </c>
      <c r="E16" s="34">
        <v>145</v>
      </c>
      <c r="F16" s="34">
        <v>135</v>
      </c>
      <c r="G16" s="34">
        <v>120</v>
      </c>
      <c r="H16" s="34">
        <v>150</v>
      </c>
      <c r="I16" s="34">
        <v>160</v>
      </c>
      <c r="J16" s="34">
        <v>155</v>
      </c>
      <c r="K16" s="34">
        <v>145</v>
      </c>
      <c r="L16" s="34">
        <v>135</v>
      </c>
      <c r="M16" s="34">
        <v>150</v>
      </c>
      <c r="N16" s="34">
        <v>165</v>
      </c>
      <c r="O16" s="35">
        <f>SUM(C16:N16)</f>
        <v>1730</v>
      </c>
      <c r="P16" s="44">
        <f>IF(O29=0,0,O16/O29)</f>
        <v>3.1383219954648524E-2</v>
      </c>
      <c r="Q16" s="45">
        <v>1730</v>
      </c>
    </row>
    <row r="17" spans="2:17" ht="19.5" customHeight="1" x14ac:dyDescent="0.35">
      <c r="B17" s="33" t="s">
        <v>61</v>
      </c>
      <c r="C17" s="34">
        <v>110</v>
      </c>
      <c r="D17" s="34">
        <v>110</v>
      </c>
      <c r="E17" s="34">
        <v>110</v>
      </c>
      <c r="F17" s="34">
        <v>110</v>
      </c>
      <c r="G17" s="34">
        <v>110</v>
      </c>
      <c r="H17" s="34">
        <v>110</v>
      </c>
      <c r="I17" s="34">
        <v>110</v>
      </c>
      <c r="J17" s="34">
        <v>110</v>
      </c>
      <c r="K17" s="34">
        <v>110</v>
      </c>
      <c r="L17" s="34">
        <v>110</v>
      </c>
      <c r="M17" s="34">
        <v>110</v>
      </c>
      <c r="N17" s="34">
        <v>110</v>
      </c>
      <c r="O17" s="35">
        <f>SUM(C17:N17)</f>
        <v>1320</v>
      </c>
      <c r="P17" s="46">
        <f>IF(O29=0,0,O17/O29)</f>
        <v>2.3945578231292518E-2</v>
      </c>
      <c r="Q17" s="45">
        <v>1320</v>
      </c>
    </row>
    <row r="18" spans="2:17" ht="19.5" customHeight="1" x14ac:dyDescent="0.35">
      <c r="B18" s="37" t="s">
        <v>62</v>
      </c>
      <c r="C18" s="34">
        <v>60</v>
      </c>
      <c r="D18" s="34">
        <v>60</v>
      </c>
      <c r="E18" s="34">
        <v>60</v>
      </c>
      <c r="F18" s="34">
        <v>60</v>
      </c>
      <c r="G18" s="34">
        <v>60</v>
      </c>
      <c r="H18" s="34">
        <v>60</v>
      </c>
      <c r="I18" s="34">
        <v>60</v>
      </c>
      <c r="J18" s="34">
        <v>60</v>
      </c>
      <c r="K18" s="34">
        <v>60</v>
      </c>
      <c r="L18" s="34">
        <v>60</v>
      </c>
      <c r="M18" s="34">
        <v>60</v>
      </c>
      <c r="N18" s="34">
        <v>60</v>
      </c>
      <c r="O18" s="35">
        <f>SUM(C18:N18)</f>
        <v>720</v>
      </c>
      <c r="P18" s="44">
        <f>IF(O29=0,0,O18/O29)</f>
        <v>1.3061224489795919E-2</v>
      </c>
      <c r="Q18" s="45">
        <v>720</v>
      </c>
    </row>
    <row r="19" spans="2:17" ht="19.5" customHeight="1" x14ac:dyDescent="0.35">
      <c r="B19" s="79" t="s">
        <v>63</v>
      </c>
      <c r="C19" s="79"/>
      <c r="D19" s="79"/>
      <c r="E19" s="79"/>
      <c r="F19" s="79"/>
      <c r="G19" s="79"/>
      <c r="H19" s="79"/>
      <c r="I19" s="79"/>
      <c r="J19" s="79"/>
      <c r="K19" s="79"/>
      <c r="L19" s="79"/>
      <c r="M19" s="79"/>
      <c r="N19" s="79"/>
      <c r="O19" s="79"/>
      <c r="P19" s="79"/>
      <c r="Q19" s="79"/>
    </row>
    <row r="20" spans="2:17" ht="19.5" customHeight="1" x14ac:dyDescent="0.35">
      <c r="B20" s="33" t="s">
        <v>64</v>
      </c>
      <c r="C20" s="34">
        <v>300</v>
      </c>
      <c r="D20" s="34">
        <v>300</v>
      </c>
      <c r="E20" s="34">
        <v>300</v>
      </c>
      <c r="F20" s="34">
        <v>300</v>
      </c>
      <c r="G20" s="34">
        <v>300</v>
      </c>
      <c r="H20" s="34">
        <v>300</v>
      </c>
      <c r="I20" s="34">
        <v>300</v>
      </c>
      <c r="J20" s="34">
        <v>300</v>
      </c>
      <c r="K20" s="34">
        <v>300</v>
      </c>
      <c r="L20" s="34">
        <v>300</v>
      </c>
      <c r="M20" s="34">
        <v>300</v>
      </c>
      <c r="N20" s="34">
        <v>300</v>
      </c>
      <c r="O20" s="35">
        <f>SUM(C20:N20)</f>
        <v>3600</v>
      </c>
      <c r="P20" s="46">
        <f>IF(O29=0,0,O20/O29)</f>
        <v>6.5306122448979598E-2</v>
      </c>
      <c r="Q20" s="45">
        <v>3600</v>
      </c>
    </row>
    <row r="21" spans="2:17" ht="19.5" customHeight="1" x14ac:dyDescent="0.35">
      <c r="B21" s="37" t="s">
        <v>65</v>
      </c>
      <c r="C21" s="34">
        <v>50</v>
      </c>
      <c r="D21" s="34">
        <v>50</v>
      </c>
      <c r="E21" s="34">
        <v>50</v>
      </c>
      <c r="F21" s="34">
        <v>50</v>
      </c>
      <c r="G21" s="34">
        <v>50</v>
      </c>
      <c r="H21" s="34">
        <v>50</v>
      </c>
      <c r="I21" s="34">
        <v>50</v>
      </c>
      <c r="J21" s="34">
        <v>50</v>
      </c>
      <c r="K21" s="34">
        <v>50</v>
      </c>
      <c r="L21" s="34">
        <v>50</v>
      </c>
      <c r="M21" s="34">
        <v>50</v>
      </c>
      <c r="N21" s="34">
        <v>50</v>
      </c>
      <c r="O21" s="35">
        <f>SUM(C21:N21)</f>
        <v>600</v>
      </c>
      <c r="P21" s="44">
        <f>IF(O29=0,0,O21/O29)</f>
        <v>1.0884353741496598E-2</v>
      </c>
      <c r="Q21" s="45">
        <v>600</v>
      </c>
    </row>
    <row r="22" spans="2:17" ht="19.5" customHeight="1" x14ac:dyDescent="0.35">
      <c r="B22" s="33" t="s">
        <v>66</v>
      </c>
      <c r="C22" s="34">
        <v>0</v>
      </c>
      <c r="D22" s="34">
        <v>0</v>
      </c>
      <c r="E22" s="34">
        <v>150</v>
      </c>
      <c r="F22" s="34">
        <v>0</v>
      </c>
      <c r="G22" s="34">
        <v>0</v>
      </c>
      <c r="H22" s="34">
        <v>200</v>
      </c>
      <c r="I22" s="34">
        <v>0</v>
      </c>
      <c r="J22" s="34">
        <v>0</v>
      </c>
      <c r="K22" s="34">
        <v>100</v>
      </c>
      <c r="L22" s="34">
        <v>0</v>
      </c>
      <c r="M22" s="34">
        <v>0</v>
      </c>
      <c r="N22" s="34">
        <v>0</v>
      </c>
      <c r="O22" s="35">
        <f>SUM(C22:N22)</f>
        <v>450</v>
      </c>
      <c r="P22" s="46">
        <f>IF(O29=0,0,O22/O29)</f>
        <v>8.1632653061224497E-3</v>
      </c>
      <c r="Q22" s="45">
        <v>450</v>
      </c>
    </row>
    <row r="23" spans="2:17" ht="19.5" customHeight="1" x14ac:dyDescent="0.35">
      <c r="B23" s="79" t="s">
        <v>67</v>
      </c>
      <c r="C23" s="79"/>
      <c r="D23" s="79"/>
      <c r="E23" s="79"/>
      <c r="F23" s="79"/>
      <c r="G23" s="79"/>
      <c r="H23" s="79"/>
      <c r="I23" s="79"/>
      <c r="J23" s="79"/>
      <c r="K23" s="79"/>
      <c r="L23" s="79"/>
      <c r="M23" s="79"/>
      <c r="N23" s="79"/>
      <c r="O23" s="79"/>
      <c r="P23" s="79"/>
      <c r="Q23" s="79"/>
    </row>
    <row r="24" spans="2:17" ht="19.5" customHeight="1" x14ac:dyDescent="0.35">
      <c r="B24" s="37" t="s">
        <v>68</v>
      </c>
      <c r="C24" s="34">
        <v>120</v>
      </c>
      <c r="D24" s="34">
        <v>100</v>
      </c>
      <c r="E24" s="34">
        <v>140</v>
      </c>
      <c r="F24" s="34">
        <v>110</v>
      </c>
      <c r="G24" s="34">
        <v>130</v>
      </c>
      <c r="H24" s="34">
        <v>200</v>
      </c>
      <c r="I24" s="34">
        <v>180</v>
      </c>
      <c r="J24" s="34">
        <v>150</v>
      </c>
      <c r="K24" s="34">
        <v>125</v>
      </c>
      <c r="L24" s="34">
        <v>115</v>
      </c>
      <c r="M24" s="34">
        <v>140</v>
      </c>
      <c r="N24" s="34">
        <v>220</v>
      </c>
      <c r="O24" s="35">
        <f>SUM(C24:N24)</f>
        <v>1730</v>
      </c>
      <c r="P24" s="44">
        <f>IF(O29=0,0,O24/O29)</f>
        <v>3.1383219954648524E-2</v>
      </c>
      <c r="Q24" s="45">
        <v>1730</v>
      </c>
    </row>
    <row r="25" spans="2:17" ht="19.5" customHeight="1" x14ac:dyDescent="0.35">
      <c r="B25" s="33" t="s">
        <v>69</v>
      </c>
      <c r="C25" s="34">
        <v>0</v>
      </c>
      <c r="D25" s="34">
        <v>0</v>
      </c>
      <c r="E25" s="34">
        <v>200</v>
      </c>
      <c r="F25" s="34">
        <v>0</v>
      </c>
      <c r="G25" s="34">
        <v>150</v>
      </c>
      <c r="H25" s="34">
        <v>0</v>
      </c>
      <c r="I25" s="34">
        <v>300</v>
      </c>
      <c r="J25" s="34">
        <v>0</v>
      </c>
      <c r="K25" s="34">
        <v>0</v>
      </c>
      <c r="L25" s="34">
        <v>150</v>
      </c>
      <c r="M25" s="34">
        <v>0</v>
      </c>
      <c r="N25" s="34">
        <v>200</v>
      </c>
      <c r="O25" s="35">
        <f>SUM(C25:N25)</f>
        <v>1000</v>
      </c>
      <c r="P25" s="46">
        <f>IF(O29=0,0,O25/O29)</f>
        <v>1.8140589569160998E-2</v>
      </c>
      <c r="Q25" s="45">
        <v>1000</v>
      </c>
    </row>
    <row r="26" spans="2:17" ht="19.5" customHeight="1" x14ac:dyDescent="0.35">
      <c r="B26" s="37" t="s">
        <v>70</v>
      </c>
      <c r="C26" s="34">
        <v>60</v>
      </c>
      <c r="D26" s="34">
        <v>60</v>
      </c>
      <c r="E26" s="34">
        <v>60</v>
      </c>
      <c r="F26" s="34">
        <v>60</v>
      </c>
      <c r="G26" s="34">
        <v>60</v>
      </c>
      <c r="H26" s="34">
        <v>60</v>
      </c>
      <c r="I26" s="34">
        <v>60</v>
      </c>
      <c r="J26" s="34">
        <v>60</v>
      </c>
      <c r="K26" s="34">
        <v>60</v>
      </c>
      <c r="L26" s="34">
        <v>60</v>
      </c>
      <c r="M26" s="34">
        <v>60</v>
      </c>
      <c r="N26" s="34">
        <v>60</v>
      </c>
      <c r="O26" s="35">
        <f>SUM(C26:N26)</f>
        <v>720</v>
      </c>
      <c r="P26" s="44">
        <f>IF(O29=0,0,O26/O29)</f>
        <v>1.3061224489795919E-2</v>
      </c>
      <c r="Q26" s="45">
        <v>720</v>
      </c>
    </row>
    <row r="27" spans="2:17" ht="19.5" customHeight="1" x14ac:dyDescent="0.35">
      <c r="B27" s="33" t="s">
        <v>71</v>
      </c>
      <c r="C27" s="34">
        <v>85</v>
      </c>
      <c r="D27" s="34">
        <v>85</v>
      </c>
      <c r="E27" s="34">
        <v>85</v>
      </c>
      <c r="F27" s="34">
        <v>85</v>
      </c>
      <c r="G27" s="34">
        <v>85</v>
      </c>
      <c r="H27" s="34">
        <v>85</v>
      </c>
      <c r="I27" s="34">
        <v>85</v>
      </c>
      <c r="J27" s="34">
        <v>85</v>
      </c>
      <c r="K27" s="34">
        <v>85</v>
      </c>
      <c r="L27" s="34">
        <v>85</v>
      </c>
      <c r="M27" s="34">
        <v>85</v>
      </c>
      <c r="N27" s="34">
        <v>85</v>
      </c>
      <c r="O27" s="35">
        <f>SUM(C27:N27)</f>
        <v>1020</v>
      </c>
      <c r="P27" s="46">
        <f>IF(O29=0,0,O27/O29)</f>
        <v>1.8503401360544219E-2</v>
      </c>
      <c r="Q27" s="45">
        <v>1020</v>
      </c>
    </row>
    <row r="28" spans="2:17" ht="19.5" customHeight="1" x14ac:dyDescent="0.35">
      <c r="B28" s="37" t="s">
        <v>72</v>
      </c>
      <c r="C28" s="34">
        <v>100</v>
      </c>
      <c r="D28" s="34">
        <v>80</v>
      </c>
      <c r="E28" s="34">
        <v>120</v>
      </c>
      <c r="F28" s="34">
        <v>90</v>
      </c>
      <c r="G28" s="34">
        <v>100</v>
      </c>
      <c r="H28" s="34">
        <v>150</v>
      </c>
      <c r="I28" s="34">
        <v>200</v>
      </c>
      <c r="J28" s="34">
        <v>100</v>
      </c>
      <c r="K28" s="34">
        <v>90</v>
      </c>
      <c r="L28" s="34">
        <v>80</v>
      </c>
      <c r="M28" s="34">
        <v>110</v>
      </c>
      <c r="N28" s="34">
        <v>150</v>
      </c>
      <c r="O28" s="35">
        <f>SUM(C28:N28)</f>
        <v>1370</v>
      </c>
      <c r="P28" s="44">
        <f>IF(O29=0,0,O28/O29)</f>
        <v>2.4852607709750566E-2</v>
      </c>
      <c r="Q28" s="45">
        <v>1370</v>
      </c>
    </row>
    <row r="29" spans="2:17" ht="24" customHeight="1" x14ac:dyDescent="0.35">
      <c r="B29" s="39" t="s">
        <v>3</v>
      </c>
      <c r="C29" s="47">
        <f t="shared" ref="C29:O29" si="0">SUM(C5:C28)</f>
        <v>4415</v>
      </c>
      <c r="D29" s="47">
        <f t="shared" si="0"/>
        <v>4275</v>
      </c>
      <c r="E29" s="47">
        <f t="shared" si="0"/>
        <v>4815</v>
      </c>
      <c r="F29" s="47">
        <f t="shared" si="0"/>
        <v>4330</v>
      </c>
      <c r="G29" s="47">
        <f t="shared" si="0"/>
        <v>4440</v>
      </c>
      <c r="H29" s="47">
        <f t="shared" si="0"/>
        <v>4820</v>
      </c>
      <c r="I29" s="47">
        <f t="shared" si="0"/>
        <v>5035</v>
      </c>
      <c r="J29" s="47">
        <f t="shared" si="0"/>
        <v>4535</v>
      </c>
      <c r="K29" s="47">
        <f t="shared" si="0"/>
        <v>4500</v>
      </c>
      <c r="L29" s="47">
        <f t="shared" si="0"/>
        <v>4470</v>
      </c>
      <c r="M29" s="47">
        <f t="shared" si="0"/>
        <v>4485</v>
      </c>
      <c r="N29" s="47">
        <f t="shared" si="0"/>
        <v>5005</v>
      </c>
      <c r="O29" s="41">
        <f t="shared" si="0"/>
        <v>55125</v>
      </c>
      <c r="Q29" s="48">
        <f>SUM(Q5:Q28)</f>
        <v>55130</v>
      </c>
    </row>
  </sheetData>
  <sheetProtection algorithmName="SHA-512" hashValue="jfwANTZRwaTPac+gOS73HgxTmvwC+TA0UBlHIdwE+eNBniH3jxK0Wvw9WOw3YdUoMpnFNMSPx4Tbdyyg3bDQew==" saltValue="0Q8DFuoT/k37bKjcFIW4Qw==" spinCount="100000" sheet="1" objects="1" scenarios="1"/>
  <mergeCells count="7">
    <mergeCell ref="B19:Q19"/>
    <mergeCell ref="B23:Q23"/>
    <mergeCell ref="B1:Q1"/>
    <mergeCell ref="B2:Q2"/>
    <mergeCell ref="B5:Q5"/>
    <mergeCell ref="B10:Q10"/>
    <mergeCell ref="B14:Q14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9A84C"/>
  </sheetPr>
  <dimension ref="B1:H21"/>
  <sheetViews>
    <sheetView showGridLines="0" zoomScaleNormal="100" workbookViewId="0"/>
  </sheetViews>
  <sheetFormatPr defaultColWidth="8.6328125" defaultRowHeight="14.5" x14ac:dyDescent="0.35"/>
  <cols>
    <col min="1" max="1" width="2" customWidth="1"/>
    <col min="2" max="2" width="24" customWidth="1"/>
    <col min="3" max="7" width="16" customWidth="1"/>
    <col min="8" max="8" width="20" customWidth="1"/>
  </cols>
  <sheetData>
    <row r="1" spans="2:8" ht="39.75" customHeight="1" x14ac:dyDescent="0.35">
      <c r="B1" s="80" t="s">
        <v>73</v>
      </c>
      <c r="C1" s="80"/>
      <c r="D1" s="80"/>
      <c r="E1" s="80"/>
      <c r="F1" s="80"/>
      <c r="G1" s="80"/>
      <c r="H1" s="80"/>
    </row>
    <row r="3" spans="2:8" ht="25.5" customHeight="1" x14ac:dyDescent="0.35">
      <c r="B3" s="81" t="s">
        <v>74</v>
      </c>
      <c r="C3" s="81"/>
      <c r="D3" s="81"/>
      <c r="E3" s="81"/>
      <c r="F3" s="81"/>
      <c r="G3" s="81"/>
      <c r="H3" s="81"/>
    </row>
    <row r="4" spans="2:8" ht="21.75" customHeight="1" x14ac:dyDescent="0.35">
      <c r="B4" s="49" t="s">
        <v>75</v>
      </c>
      <c r="C4" s="49" t="s">
        <v>76</v>
      </c>
      <c r="D4" s="49" t="s">
        <v>77</v>
      </c>
      <c r="E4" s="49" t="s">
        <v>78</v>
      </c>
      <c r="F4" s="49" t="s">
        <v>79</v>
      </c>
      <c r="G4" s="49" t="s">
        <v>80</v>
      </c>
      <c r="H4" s="49" t="s">
        <v>81</v>
      </c>
    </row>
    <row r="5" spans="2:8" ht="21.75" customHeight="1" x14ac:dyDescent="0.35">
      <c r="B5" s="50" t="s">
        <v>82</v>
      </c>
      <c r="C5" s="34">
        <v>15000</v>
      </c>
      <c r="D5" s="34">
        <v>8500</v>
      </c>
      <c r="E5" s="34">
        <v>500</v>
      </c>
      <c r="F5" s="51" t="s">
        <v>83</v>
      </c>
      <c r="G5" s="52">
        <f t="shared" ref="G5:G11" si="0">IF(C5=0,0,D5/C5)</f>
        <v>0.56666666666666665</v>
      </c>
      <c r="H5" s="51" t="str">
        <f t="shared" ref="H5:H10" si="1">IF(G5&gt;=1,"✅ Complete",IF(G5&gt;=0.75,"🟡 On Track","🔴 Behind"))</f>
        <v>🔴 Behind</v>
      </c>
    </row>
    <row r="6" spans="2:8" ht="21.75" customHeight="1" x14ac:dyDescent="0.35">
      <c r="B6" s="53" t="s">
        <v>84</v>
      </c>
      <c r="C6" s="34">
        <v>5000</v>
      </c>
      <c r="D6" s="34">
        <v>1200</v>
      </c>
      <c r="E6" s="34">
        <v>300</v>
      </c>
      <c r="F6" s="54" t="s">
        <v>85</v>
      </c>
      <c r="G6" s="55">
        <f t="shared" si="0"/>
        <v>0.24</v>
      </c>
      <c r="H6" s="54" t="str">
        <f t="shared" si="1"/>
        <v>🔴 Behind</v>
      </c>
    </row>
    <row r="7" spans="2:8" ht="21.75" customHeight="1" x14ac:dyDescent="0.35">
      <c r="B7" s="50" t="s">
        <v>86</v>
      </c>
      <c r="C7" s="34">
        <v>12000</v>
      </c>
      <c r="D7" s="34">
        <v>3000</v>
      </c>
      <c r="E7" s="34">
        <v>400</v>
      </c>
      <c r="F7" s="51" t="s">
        <v>87</v>
      </c>
      <c r="G7" s="52">
        <f t="shared" si="0"/>
        <v>0.25</v>
      </c>
      <c r="H7" s="51" t="str">
        <f t="shared" si="1"/>
        <v>🔴 Behind</v>
      </c>
    </row>
    <row r="8" spans="2:8" ht="21.75" customHeight="1" x14ac:dyDescent="0.35">
      <c r="B8" s="53" t="s">
        <v>88</v>
      </c>
      <c r="C8" s="34">
        <v>60000</v>
      </c>
      <c r="D8" s="34">
        <v>18000</v>
      </c>
      <c r="E8" s="34">
        <v>1200</v>
      </c>
      <c r="F8" s="54" t="s">
        <v>89</v>
      </c>
      <c r="G8" s="55">
        <f t="shared" si="0"/>
        <v>0.3</v>
      </c>
      <c r="H8" s="54" t="str">
        <f t="shared" si="1"/>
        <v>🔴 Behind</v>
      </c>
    </row>
    <row r="9" spans="2:8" ht="21.75" customHeight="1" x14ac:dyDescent="0.35">
      <c r="B9" s="50" t="s">
        <v>90</v>
      </c>
      <c r="C9" s="34">
        <v>7000</v>
      </c>
      <c r="D9" s="34">
        <v>4500</v>
      </c>
      <c r="E9" s="34">
        <v>500</v>
      </c>
      <c r="F9" s="51" t="s">
        <v>83</v>
      </c>
      <c r="G9" s="52">
        <f t="shared" si="0"/>
        <v>0.6428571428571429</v>
      </c>
      <c r="H9" s="51" t="str">
        <f t="shared" si="1"/>
        <v>🔴 Behind</v>
      </c>
    </row>
    <row r="10" spans="2:8" ht="21.75" customHeight="1" x14ac:dyDescent="0.35">
      <c r="B10" s="53" t="s">
        <v>91</v>
      </c>
      <c r="C10" s="34">
        <v>3000</v>
      </c>
      <c r="D10" s="34">
        <v>500</v>
      </c>
      <c r="E10" s="34">
        <v>200</v>
      </c>
      <c r="F10" s="54" t="s">
        <v>92</v>
      </c>
      <c r="G10" s="55">
        <f t="shared" si="0"/>
        <v>0.16666666666666666</v>
      </c>
      <c r="H10" s="54" t="str">
        <f t="shared" si="1"/>
        <v>🔴 Behind</v>
      </c>
    </row>
    <row r="11" spans="2:8" ht="24" customHeight="1" x14ac:dyDescent="0.35">
      <c r="B11" s="56" t="s">
        <v>93</v>
      </c>
      <c r="C11" s="47">
        <f>SUM(C5:C10)</f>
        <v>102000</v>
      </c>
      <c r="D11" s="47">
        <f>SUM(D5:D10)</f>
        <v>35700</v>
      </c>
      <c r="E11" s="47">
        <f>SUM(E5:E10)</f>
        <v>3100</v>
      </c>
      <c r="G11" s="57">
        <f t="shared" si="0"/>
        <v>0.35</v>
      </c>
    </row>
    <row r="13" spans="2:8" ht="25.5" customHeight="1" x14ac:dyDescent="0.35">
      <c r="B13" s="81" t="s">
        <v>94</v>
      </c>
      <c r="C13" s="81"/>
      <c r="D13" s="81"/>
      <c r="E13" s="81"/>
      <c r="F13" s="81"/>
      <c r="G13" s="81"/>
      <c r="H13" s="81"/>
    </row>
    <row r="14" spans="2:8" ht="21.75" customHeight="1" x14ac:dyDescent="0.35">
      <c r="B14" s="49" t="s">
        <v>95</v>
      </c>
      <c r="C14" s="49" t="s">
        <v>96</v>
      </c>
      <c r="D14" s="49" t="s">
        <v>97</v>
      </c>
      <c r="E14" s="49" t="s">
        <v>98</v>
      </c>
      <c r="F14" s="49" t="s">
        <v>99</v>
      </c>
      <c r="G14" s="49" t="s">
        <v>100</v>
      </c>
    </row>
    <row r="15" spans="2:8" ht="19.5" customHeight="1" x14ac:dyDescent="0.35">
      <c r="B15" s="33" t="s">
        <v>82</v>
      </c>
      <c r="C15" s="34">
        <v>500</v>
      </c>
      <c r="D15" s="34">
        <v>8500</v>
      </c>
      <c r="E15" s="34">
        <v>6000</v>
      </c>
      <c r="F15" s="52">
        <f t="shared" ref="F15:F20" si="2">IF(E15=0,0,D15/E15)</f>
        <v>1.4166666666666667</v>
      </c>
      <c r="G15" s="58" t="s">
        <v>101</v>
      </c>
    </row>
    <row r="16" spans="2:8" ht="19.5" customHeight="1" x14ac:dyDescent="0.35">
      <c r="B16" s="37" t="s">
        <v>102</v>
      </c>
      <c r="C16" s="34">
        <v>500</v>
      </c>
      <c r="D16" s="34">
        <v>4500</v>
      </c>
      <c r="E16" s="34">
        <v>7000</v>
      </c>
      <c r="F16" s="55">
        <f t="shared" si="2"/>
        <v>0.6428571428571429</v>
      </c>
      <c r="G16" s="59" t="s">
        <v>103</v>
      </c>
    </row>
    <row r="17" spans="2:7" ht="19.5" customHeight="1" x14ac:dyDescent="0.35">
      <c r="B17" s="33" t="s">
        <v>104</v>
      </c>
      <c r="C17" s="34">
        <v>650</v>
      </c>
      <c r="D17" s="34">
        <v>18000</v>
      </c>
      <c r="E17" s="34">
        <v>7800</v>
      </c>
      <c r="F17" s="52">
        <f t="shared" si="2"/>
        <v>2.3076923076923075</v>
      </c>
      <c r="G17" s="58" t="s">
        <v>105</v>
      </c>
    </row>
    <row r="18" spans="2:7" ht="19.5" customHeight="1" x14ac:dyDescent="0.35">
      <c r="B18" s="37" t="s">
        <v>106</v>
      </c>
      <c r="C18" s="34">
        <v>300</v>
      </c>
      <c r="D18" s="34">
        <v>5200</v>
      </c>
      <c r="E18" s="34">
        <v>3600</v>
      </c>
      <c r="F18" s="55">
        <f t="shared" si="2"/>
        <v>1.4444444444444444</v>
      </c>
      <c r="G18" s="59" t="s">
        <v>107</v>
      </c>
    </row>
    <row r="19" spans="2:7" ht="19.5" customHeight="1" x14ac:dyDescent="0.35">
      <c r="B19" s="33" t="s">
        <v>108</v>
      </c>
      <c r="C19" s="34">
        <v>300</v>
      </c>
      <c r="D19" s="34">
        <v>1200</v>
      </c>
      <c r="E19" s="34">
        <v>3600</v>
      </c>
      <c r="F19" s="52">
        <f t="shared" si="2"/>
        <v>0.33333333333333331</v>
      </c>
      <c r="G19" s="58" t="s">
        <v>109</v>
      </c>
    </row>
    <row r="20" spans="2:7" ht="19.5" customHeight="1" x14ac:dyDescent="0.35">
      <c r="B20" s="37" t="s">
        <v>110</v>
      </c>
      <c r="C20" s="34">
        <v>200</v>
      </c>
      <c r="D20" s="34">
        <v>800</v>
      </c>
      <c r="E20" s="34">
        <v>2400</v>
      </c>
      <c r="F20" s="55">
        <f t="shared" si="2"/>
        <v>0.33333333333333331</v>
      </c>
      <c r="G20" s="59" t="s">
        <v>111</v>
      </c>
    </row>
    <row r="21" spans="2:7" ht="24" customHeight="1" x14ac:dyDescent="0.35">
      <c r="B21" s="60" t="s">
        <v>112</v>
      </c>
      <c r="C21" s="47">
        <f>SUM(C15:C20)</f>
        <v>2450</v>
      </c>
      <c r="D21" s="47">
        <f>SUM(D15:D20)</f>
        <v>38200</v>
      </c>
      <c r="E21" s="47">
        <f>SUM(E15:E20)</f>
        <v>30400</v>
      </c>
    </row>
  </sheetData>
  <sheetProtection algorithmName="SHA-512" hashValue="UMjcWGOcJ7VS6yK1qZNyprKsh+9h7T6z4xMca7e1MxgUVU0Ekp+XOZfiCJNeMgzbfGjkSiOsD65t7x/ByrU+Pg==" saltValue="PhV8ysb0J3E+61hHoe+MaQ==" spinCount="100000" sheet="1" objects="1" scenarios="1"/>
  <mergeCells count="3">
    <mergeCell ref="B1:H1"/>
    <mergeCell ref="B3:H3"/>
    <mergeCell ref="B13:H13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E67E22"/>
  </sheetPr>
  <dimension ref="B1:N22"/>
  <sheetViews>
    <sheetView showGridLines="0" tabSelected="1"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ColWidth="8.6328125" defaultRowHeight="14.5" x14ac:dyDescent="0.35"/>
  <cols>
    <col min="1" max="1" width="2" customWidth="1"/>
    <col min="2" max="2" width="26" customWidth="1"/>
    <col min="3" max="6" width="14" customWidth="1"/>
  </cols>
  <sheetData>
    <row r="1" spans="2:14" ht="39.75" customHeight="1" x14ac:dyDescent="0.35">
      <c r="B1" s="82" t="s">
        <v>113</v>
      </c>
      <c r="C1" s="82"/>
      <c r="D1" s="82"/>
      <c r="E1" s="82"/>
      <c r="F1" s="82"/>
    </row>
    <row r="2" spans="2:14" x14ac:dyDescent="0.35">
      <c r="B2" s="83" t="s">
        <v>114</v>
      </c>
      <c r="C2" s="83"/>
      <c r="D2" s="83"/>
      <c r="E2" s="83"/>
      <c r="F2" s="83"/>
    </row>
    <row r="4" spans="2:14" ht="24" customHeight="1" x14ac:dyDescent="0.35">
      <c r="B4" s="31" t="s">
        <v>47</v>
      </c>
      <c r="C4" s="31" t="s">
        <v>48</v>
      </c>
      <c r="D4" s="31" t="s">
        <v>115</v>
      </c>
      <c r="E4" s="31" t="s">
        <v>116</v>
      </c>
      <c r="F4" s="31" t="s">
        <v>117</v>
      </c>
    </row>
    <row r="5" spans="2:14" ht="21.75" customHeight="1" x14ac:dyDescent="0.35">
      <c r="B5" s="50" t="s">
        <v>14</v>
      </c>
      <c r="C5" s="61">
        <f>SUM('💸 Expenses'!Q6:Q9)</f>
        <v>26070</v>
      </c>
      <c r="D5" s="62">
        <f>SUM('💸 Expenses'!O6:O9)</f>
        <v>26065</v>
      </c>
      <c r="E5" s="63">
        <f t="shared" ref="E5:E10" si="0">C5-D5</f>
        <v>5</v>
      </c>
      <c r="F5" s="46">
        <f t="shared" ref="F5:F10" si="1">IF(C5=0,0,E5/C5)</f>
        <v>1.9179133103183735E-4</v>
      </c>
      <c r="N5" s="64">
        <f>E10</f>
        <v>5</v>
      </c>
    </row>
    <row r="6" spans="2:14" ht="21.75" customHeight="1" x14ac:dyDescent="0.35">
      <c r="B6" s="53" t="s">
        <v>15</v>
      </c>
      <c r="C6" s="61">
        <f>SUM('💸 Expenses'!Q11:Q13)</f>
        <v>9400</v>
      </c>
      <c r="D6" s="65">
        <f>SUM('💸 Expenses'!O11:O13)</f>
        <v>9400</v>
      </c>
      <c r="E6" s="66">
        <f t="shared" si="0"/>
        <v>0</v>
      </c>
      <c r="F6" s="44">
        <f t="shared" si="1"/>
        <v>0</v>
      </c>
    </row>
    <row r="7" spans="2:14" ht="21.75" customHeight="1" x14ac:dyDescent="0.35">
      <c r="B7" s="50" t="s">
        <v>118</v>
      </c>
      <c r="C7" s="61">
        <f>SUM('💸 Expenses'!Q15:Q18)</f>
        <v>9170</v>
      </c>
      <c r="D7" s="62">
        <f>SUM('💸 Expenses'!O15:O18)</f>
        <v>9170</v>
      </c>
      <c r="E7" s="63">
        <f t="shared" si="0"/>
        <v>0</v>
      </c>
      <c r="F7" s="46">
        <f t="shared" si="1"/>
        <v>0</v>
      </c>
    </row>
    <row r="8" spans="2:14" ht="21.75" customHeight="1" x14ac:dyDescent="0.35">
      <c r="B8" s="53" t="s">
        <v>17</v>
      </c>
      <c r="C8" s="61">
        <f>SUM('💸 Expenses'!Q20:Q22)</f>
        <v>4650</v>
      </c>
      <c r="D8" s="65">
        <f>SUM('💸 Expenses'!O20:O22)</f>
        <v>4650</v>
      </c>
      <c r="E8" s="66">
        <f t="shared" si="0"/>
        <v>0</v>
      </c>
      <c r="F8" s="44">
        <f t="shared" si="1"/>
        <v>0</v>
      </c>
    </row>
    <row r="9" spans="2:14" ht="21.75" customHeight="1" x14ac:dyDescent="0.35">
      <c r="B9" s="50" t="s">
        <v>119</v>
      </c>
      <c r="C9" s="61">
        <f>SUM('💸 Expenses'!Q24:Q28)</f>
        <v>5840</v>
      </c>
      <c r="D9" s="62">
        <f>SUM('💸 Expenses'!O24:O28)</f>
        <v>5840</v>
      </c>
      <c r="E9" s="63">
        <f t="shared" si="0"/>
        <v>0</v>
      </c>
      <c r="F9" s="46">
        <f t="shared" si="1"/>
        <v>0</v>
      </c>
    </row>
    <row r="10" spans="2:14" ht="24" customHeight="1" x14ac:dyDescent="0.35">
      <c r="B10" s="60" t="s">
        <v>31</v>
      </c>
      <c r="C10" s="47">
        <f>SUM(C5:C9)</f>
        <v>55130</v>
      </c>
      <c r="D10" s="47">
        <f>SUM(D5:D9)</f>
        <v>55125</v>
      </c>
      <c r="E10" s="47">
        <f t="shared" si="0"/>
        <v>5</v>
      </c>
      <c r="F10" s="57">
        <f t="shared" si="1"/>
        <v>9.0694721567204786E-5</v>
      </c>
    </row>
    <row r="12" spans="2:14" ht="25.5" customHeight="1" x14ac:dyDescent="0.35">
      <c r="B12" s="81" t="s">
        <v>120</v>
      </c>
      <c r="C12" s="81"/>
      <c r="D12" s="81"/>
      <c r="E12" s="81"/>
      <c r="F12" s="81"/>
    </row>
    <row r="13" spans="2:14" x14ac:dyDescent="0.35">
      <c r="B13" s="67" t="s">
        <v>47</v>
      </c>
      <c r="C13" s="67" t="s">
        <v>48</v>
      </c>
      <c r="D13" s="67" t="s">
        <v>115</v>
      </c>
      <c r="E13" s="67" t="s">
        <v>116</v>
      </c>
      <c r="F13" s="67" t="s">
        <v>117</v>
      </c>
    </row>
    <row r="14" spans="2:14" ht="21.75" customHeight="1" x14ac:dyDescent="0.35">
      <c r="B14" s="33" t="s">
        <v>38</v>
      </c>
      <c r="C14" s="34">
        <f>'📥 Income'!O5</f>
        <v>78000</v>
      </c>
      <c r="D14" s="62">
        <f>'📥 Income'!O5</f>
        <v>78000</v>
      </c>
      <c r="E14" s="62">
        <f t="shared" ref="E14:E19" si="2">C14-D14</f>
        <v>0</v>
      </c>
      <c r="F14" s="46">
        <f t="shared" ref="F14:F20" si="3">IF(C14=0,0,E14/C14)</f>
        <v>0</v>
      </c>
    </row>
    <row r="15" spans="2:14" ht="21.75" customHeight="1" x14ac:dyDescent="0.35">
      <c r="B15" s="37" t="s">
        <v>39</v>
      </c>
      <c r="C15" s="34">
        <f>'📥 Income'!O6</f>
        <v>5500</v>
      </c>
      <c r="D15" s="65">
        <f>'📥 Income'!O6</f>
        <v>5500</v>
      </c>
      <c r="E15" s="65">
        <f t="shared" si="2"/>
        <v>0</v>
      </c>
      <c r="F15" s="44">
        <f t="shared" si="3"/>
        <v>0</v>
      </c>
    </row>
    <row r="16" spans="2:14" ht="21.75" customHeight="1" x14ac:dyDescent="0.35">
      <c r="B16" s="33" t="s">
        <v>121</v>
      </c>
      <c r="C16" s="34">
        <f>'📥 Income'!O7</f>
        <v>9850</v>
      </c>
      <c r="D16" s="62">
        <f>'📥 Income'!O7</f>
        <v>9850</v>
      </c>
      <c r="E16" s="62">
        <f t="shared" si="2"/>
        <v>0</v>
      </c>
      <c r="F16" s="46">
        <f t="shared" si="3"/>
        <v>0</v>
      </c>
    </row>
    <row r="17" spans="2:6" ht="21.75" customHeight="1" x14ac:dyDescent="0.35">
      <c r="B17" s="37" t="s">
        <v>41</v>
      </c>
      <c r="C17" s="34">
        <f>'📥 Income'!O8</f>
        <v>2400</v>
      </c>
      <c r="D17" s="65">
        <f>'📥 Income'!O8</f>
        <v>2400</v>
      </c>
      <c r="E17" s="65">
        <f t="shared" si="2"/>
        <v>0</v>
      </c>
      <c r="F17" s="44">
        <f t="shared" si="3"/>
        <v>0</v>
      </c>
    </row>
    <row r="18" spans="2:6" ht="21.75" customHeight="1" x14ac:dyDescent="0.35">
      <c r="B18" s="33" t="s">
        <v>42</v>
      </c>
      <c r="C18" s="34">
        <f>'📥 Income'!O9</f>
        <v>14400</v>
      </c>
      <c r="D18" s="62">
        <f>'📥 Income'!O9</f>
        <v>14400</v>
      </c>
      <c r="E18" s="62">
        <f t="shared" si="2"/>
        <v>0</v>
      </c>
      <c r="F18" s="46">
        <f t="shared" si="3"/>
        <v>0</v>
      </c>
    </row>
    <row r="19" spans="2:6" ht="21.75" customHeight="1" x14ac:dyDescent="0.35">
      <c r="B19" s="37" t="s">
        <v>43</v>
      </c>
      <c r="C19" s="34">
        <f>'📥 Income'!O10</f>
        <v>350</v>
      </c>
      <c r="D19" s="65">
        <f>'📥 Income'!O10</f>
        <v>350</v>
      </c>
      <c r="E19" s="65">
        <f t="shared" si="2"/>
        <v>0</v>
      </c>
      <c r="F19" s="44">
        <f t="shared" si="3"/>
        <v>0</v>
      </c>
    </row>
    <row r="20" spans="2:6" ht="24" customHeight="1" x14ac:dyDescent="0.35">
      <c r="B20" s="68" t="s">
        <v>2</v>
      </c>
      <c r="C20" s="69">
        <f>SUM(C14:C19)</f>
        <v>110500</v>
      </c>
      <c r="D20" s="69">
        <f>SUM(D14:D19)</f>
        <v>110500</v>
      </c>
      <c r="E20" s="69">
        <f>SUM(E14:E19)</f>
        <v>0</v>
      </c>
      <c r="F20" s="70">
        <f t="shared" si="3"/>
        <v>0</v>
      </c>
    </row>
    <row r="22" spans="2:6" ht="25.5" customHeight="1" x14ac:dyDescent="0.35">
      <c r="B22" s="71" t="s">
        <v>122</v>
      </c>
      <c r="C22" s="41">
        <f>C20-C10</f>
        <v>55370</v>
      </c>
      <c r="D22" s="41">
        <f>D20-D10</f>
        <v>55375</v>
      </c>
      <c r="E22" s="41">
        <f>E20-E10</f>
        <v>-5</v>
      </c>
      <c r="F22" s="42">
        <f>IF(C22=0,0,E22/C22)</f>
        <v>-9.0301607368611163E-5</v>
      </c>
    </row>
  </sheetData>
  <sheetProtection algorithmName="SHA-512" hashValue="UeLaEMQihYLtulH8RButUjml8KUYpKDpbQ+BZy8RaMhMiMeIQEHMiyuTAqdzkvuzgH2VFWBc0GGHDHBtmDzfBg==" saltValue="zzTtbFLgQ01V+I5wMmeNiw==" spinCount="100000" sheet="1" objects="1" scenarios="1"/>
  <mergeCells count="3">
    <mergeCell ref="B1:F1"/>
    <mergeCell ref="B2:F2"/>
    <mergeCell ref="B12:F1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📋 Instructions</vt:lpstr>
      <vt:lpstr>📊 Dashboard</vt:lpstr>
      <vt:lpstr>📥 Income</vt:lpstr>
      <vt:lpstr>💸 Expenses</vt:lpstr>
      <vt:lpstr>💰 Goals</vt:lpstr>
      <vt:lpstr>📊 Budget vs Actual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Quanthaven</dc:creator>
  <dc:description/>
  <cp:lastModifiedBy>Haven Chavous</cp:lastModifiedBy>
  <cp:revision>1</cp:revision>
  <dcterms:created xsi:type="dcterms:W3CDTF">2026-03-20T11:23:36Z</dcterms:created>
  <dcterms:modified xsi:type="dcterms:W3CDTF">2026-03-20T11:28:27Z</dcterms:modified>
  <dc:language>en-US</dc:language>
</cp:coreProperties>
</file>