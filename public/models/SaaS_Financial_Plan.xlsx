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5e2a0c6f7417474/Desktop/Eloquens/April_2026/"/>
    </mc:Choice>
  </mc:AlternateContent>
  <xr:revisionPtr revIDLastSave="4" documentId="14_{94779C37-9553-4E49-B679-52CAF51A750E}" xr6:coauthVersionLast="47" xr6:coauthVersionMax="47" xr10:uidLastSave="{6F3B85C7-4E58-488F-B87A-5D6EEE5353AE}"/>
  <bookViews>
    <workbookView xWindow="-110" yWindow="-110" windowWidth="25820" windowHeight="15500" tabRatio="500" xr2:uid="{00000000-000D-0000-FFFF-FFFF00000000}"/>
  </bookViews>
  <sheets>
    <sheet name="Cover" sheetId="1" r:id="rId1"/>
    <sheet name="Instructions" sheetId="2" r:id="rId2"/>
    <sheet name="Controls" sheetId="3" r:id="rId3"/>
    <sheet name="Revenue" sheetId="4" r:id="rId4"/>
    <sheet name="Charts" sheetId="5" r:id="rId5"/>
    <sheet name="Headcount" sheetId="6" r:id="rId6"/>
    <sheet name="OpEx" sheetId="7" r:id="rId7"/>
    <sheet name="P&amp;L" sheetId="8" r:id="rId8"/>
    <sheet name="Cash Flow" sheetId="9" r:id="rId9"/>
    <sheet name="Balance Sheet" sheetId="10" r:id="rId10"/>
    <sheet name="Annual Summary" sheetId="11" r:id="rId11"/>
    <sheet name="KPI Dashboard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12" l="1"/>
  <c r="D20" i="12"/>
  <c r="C20" i="12"/>
  <c r="BP12" i="12"/>
  <c r="BO12" i="12"/>
  <c r="BN12" i="12"/>
  <c r="BP7" i="12"/>
  <c r="BO7" i="12"/>
  <c r="BN7" i="12"/>
  <c r="BP6" i="12"/>
  <c r="BO6" i="12"/>
  <c r="BN6" i="12"/>
  <c r="BP5" i="12"/>
  <c r="BO5" i="12"/>
  <c r="BN5" i="12"/>
  <c r="BP3" i="12"/>
  <c r="BO3" i="12"/>
  <c r="BN3" i="12"/>
  <c r="BM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H46" i="11"/>
  <c r="H45" i="11"/>
  <c r="H3" i="11"/>
  <c r="G3" i="11"/>
  <c r="F3" i="11"/>
  <c r="E3" i="11"/>
  <c r="D3" i="11"/>
  <c r="C3" i="11"/>
  <c r="A2" i="11"/>
  <c r="BP29" i="10"/>
  <c r="H60" i="11" s="1"/>
  <c r="BO29" i="10"/>
  <c r="G60" i="11" s="1"/>
  <c r="BN29" i="10"/>
  <c r="F60" i="11" s="1"/>
  <c r="BP28" i="10"/>
  <c r="H59" i="11" s="1"/>
  <c r="BO28" i="10"/>
  <c r="G59" i="11" s="1"/>
  <c r="BN28" i="10"/>
  <c r="F59" i="11" s="1"/>
  <c r="BP27" i="10"/>
  <c r="H58" i="11" s="1"/>
  <c r="BO27" i="10"/>
  <c r="G58" i="11" s="1"/>
  <c r="BN27" i="10"/>
  <c r="F58" i="11" s="1"/>
  <c r="BP26" i="10"/>
  <c r="BO26" i="10"/>
  <c r="BN26" i="10"/>
  <c r="BP25" i="10"/>
  <c r="BO25" i="10"/>
  <c r="BN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P22" i="10"/>
  <c r="H55" i="11" s="1"/>
  <c r="BO22" i="10"/>
  <c r="G55" i="11" s="1"/>
  <c r="BN22" i="10"/>
  <c r="F55" i="11" s="1"/>
  <c r="BP21" i="10"/>
  <c r="H54" i="11" s="1"/>
  <c r="BO21" i="10"/>
  <c r="G54" i="11" s="1"/>
  <c r="BN21" i="10"/>
  <c r="F54" i="11" s="1"/>
  <c r="BM21" i="10"/>
  <c r="E54" i="11" s="1"/>
  <c r="BK21" i="10"/>
  <c r="C54" i="11" s="1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BL21" i="10" s="1"/>
  <c r="D54" i="11" s="1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P19" i="10"/>
  <c r="H53" i="11" s="1"/>
  <c r="BO19" i="10"/>
  <c r="G53" i="11" s="1"/>
  <c r="BN19" i="10"/>
  <c r="F53" i="11" s="1"/>
  <c r="BP18" i="10"/>
  <c r="H52" i="11" s="1"/>
  <c r="BO18" i="10"/>
  <c r="G52" i="11" s="1"/>
  <c r="BN18" i="10"/>
  <c r="F52" i="11" s="1"/>
  <c r="BP17" i="10"/>
  <c r="H51" i="11" s="1"/>
  <c r="BO17" i="10"/>
  <c r="G51" i="11" s="1"/>
  <c r="BN17" i="10"/>
  <c r="F51" i="11" s="1"/>
  <c r="BP14" i="10"/>
  <c r="H48" i="11" s="1"/>
  <c r="BO14" i="10"/>
  <c r="G48" i="11" s="1"/>
  <c r="BN14" i="10"/>
  <c r="F48" i="11" s="1"/>
  <c r="BP13" i="10"/>
  <c r="H47" i="11" s="1"/>
  <c r="BO13" i="10"/>
  <c r="G47" i="11" s="1"/>
  <c r="BN13" i="10"/>
  <c r="F47" i="11" s="1"/>
  <c r="BP12" i="10"/>
  <c r="BO12" i="10"/>
  <c r="BN12" i="10"/>
  <c r="BP11" i="10"/>
  <c r="BO11" i="10"/>
  <c r="BN11" i="10"/>
  <c r="C11" i="10"/>
  <c r="D11" i="10" s="1"/>
  <c r="E11" i="10" s="1"/>
  <c r="BP9" i="10"/>
  <c r="BO9" i="10"/>
  <c r="G46" i="11" s="1"/>
  <c r="BN9" i="10"/>
  <c r="F46" i="11" s="1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P7" i="10"/>
  <c r="BO7" i="10"/>
  <c r="G45" i="11" s="1"/>
  <c r="BN7" i="10"/>
  <c r="F45" i="11" s="1"/>
  <c r="BP6" i="10"/>
  <c r="H44" i="11" s="1"/>
  <c r="BO6" i="10"/>
  <c r="G44" i="11" s="1"/>
  <c r="BN6" i="10"/>
  <c r="F44" i="11" s="1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P28" i="9"/>
  <c r="H40" i="11" s="1"/>
  <c r="BO28" i="9"/>
  <c r="G40" i="11" s="1"/>
  <c r="BN28" i="9"/>
  <c r="F40" i="11" s="1"/>
  <c r="BP27" i="9"/>
  <c r="H39" i="11" s="1"/>
  <c r="BO27" i="9"/>
  <c r="G39" i="11" s="1"/>
  <c r="BN27" i="9"/>
  <c r="F39" i="11" s="1"/>
  <c r="C26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J15" i="9"/>
  <c r="BD15" i="9"/>
  <c r="BC15" i="9"/>
  <c r="BB15" i="9"/>
  <c r="BA15" i="9"/>
  <c r="AZ15" i="9"/>
  <c r="AY15" i="9"/>
  <c r="AT15" i="9"/>
  <c r="AS15" i="9"/>
  <c r="AR15" i="9"/>
  <c r="AF15" i="9"/>
  <c r="AE15" i="9"/>
  <c r="AD15" i="9"/>
  <c r="AC15" i="9"/>
  <c r="AB15" i="9"/>
  <c r="Z15" i="9"/>
  <c r="X15" i="9"/>
  <c r="O15" i="9"/>
  <c r="N15" i="9"/>
  <c r="M15" i="9"/>
  <c r="K15" i="9"/>
  <c r="H15" i="9"/>
  <c r="G15" i="9"/>
  <c r="F15" i="9"/>
  <c r="E15" i="9"/>
  <c r="D15" i="9"/>
  <c r="C15" i="9"/>
  <c r="BJ14" i="9"/>
  <c r="BI14" i="9"/>
  <c r="BI15" i="9" s="1"/>
  <c r="BH14" i="9"/>
  <c r="BH15" i="9" s="1"/>
  <c r="BG14" i="9"/>
  <c r="BG15" i="9" s="1"/>
  <c r="BF14" i="9"/>
  <c r="BF15" i="9" s="1"/>
  <c r="BE14" i="9"/>
  <c r="BE15" i="9" s="1"/>
  <c r="BD14" i="9"/>
  <c r="BC14" i="9"/>
  <c r="BB14" i="9"/>
  <c r="BA14" i="9"/>
  <c r="AZ14" i="9"/>
  <c r="AY14" i="9"/>
  <c r="AX14" i="9"/>
  <c r="AX15" i="9" s="1"/>
  <c r="AW14" i="9"/>
  <c r="AW15" i="9" s="1"/>
  <c r="AV14" i="9"/>
  <c r="AV15" i="9" s="1"/>
  <c r="AU14" i="9"/>
  <c r="AU15" i="9" s="1"/>
  <c r="AT14" i="9"/>
  <c r="AS14" i="9"/>
  <c r="AR14" i="9"/>
  <c r="AQ14" i="9"/>
  <c r="AQ15" i="9" s="1"/>
  <c r="AP14" i="9"/>
  <c r="AP15" i="9" s="1"/>
  <c r="AO14" i="9"/>
  <c r="AO15" i="9" s="1"/>
  <c r="AN14" i="9"/>
  <c r="AN15" i="9" s="1"/>
  <c r="AM14" i="9"/>
  <c r="AM15" i="9" s="1"/>
  <c r="AL14" i="9"/>
  <c r="AL15" i="9" s="1"/>
  <c r="AK14" i="9"/>
  <c r="AK15" i="9" s="1"/>
  <c r="AJ14" i="9"/>
  <c r="AJ15" i="9" s="1"/>
  <c r="AI14" i="9"/>
  <c r="AI15" i="9" s="1"/>
  <c r="AH14" i="9"/>
  <c r="AH15" i="9" s="1"/>
  <c r="AG14" i="9"/>
  <c r="AG15" i="9" s="1"/>
  <c r="AF14" i="9"/>
  <c r="AE14" i="9"/>
  <c r="AD14" i="9"/>
  <c r="AC14" i="9"/>
  <c r="AB14" i="9"/>
  <c r="AA14" i="9"/>
  <c r="AA15" i="9" s="1"/>
  <c r="Z14" i="9"/>
  <c r="Y14" i="9"/>
  <c r="Y15" i="9" s="1"/>
  <c r="X14" i="9"/>
  <c r="W14" i="9"/>
  <c r="W15" i="9" s="1"/>
  <c r="V14" i="9"/>
  <c r="V15" i="9" s="1"/>
  <c r="U14" i="9"/>
  <c r="U15" i="9" s="1"/>
  <c r="T14" i="9"/>
  <c r="T15" i="9" s="1"/>
  <c r="S14" i="9"/>
  <c r="S15" i="9" s="1"/>
  <c r="R14" i="9"/>
  <c r="R15" i="9" s="1"/>
  <c r="Q14" i="9"/>
  <c r="Q15" i="9" s="1"/>
  <c r="P14" i="9"/>
  <c r="P15" i="9" s="1"/>
  <c r="O14" i="9"/>
  <c r="N14" i="9"/>
  <c r="M14" i="9"/>
  <c r="L14" i="9"/>
  <c r="L15" i="9" s="1"/>
  <c r="K14" i="9"/>
  <c r="J14" i="9"/>
  <c r="J15" i="9" s="1"/>
  <c r="I14" i="9"/>
  <c r="I15" i="9" s="1"/>
  <c r="H14" i="9"/>
  <c r="G14" i="9"/>
  <c r="F14" i="9"/>
  <c r="E14" i="9"/>
  <c r="D14" i="9"/>
  <c r="C14" i="9"/>
  <c r="BJ7" i="9"/>
  <c r="BI7" i="9"/>
  <c r="BH7" i="9"/>
  <c r="BE7" i="9"/>
  <c r="AW7" i="9"/>
  <c r="AP7" i="9"/>
  <c r="AJ7" i="9"/>
  <c r="D7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M47" i="8"/>
  <c r="E27" i="11" s="1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Z45" i="8"/>
  <c r="AY45" i="8"/>
  <c r="AW45" i="8"/>
  <c r="AO45" i="8"/>
  <c r="AN45" i="8"/>
  <c r="AL45" i="8"/>
  <c r="U45" i="8"/>
  <c r="R45" i="8"/>
  <c r="L45" i="8"/>
  <c r="BJ38" i="8"/>
  <c r="BH38" i="8"/>
  <c r="AS38" i="8"/>
  <c r="AR38" i="8"/>
  <c r="AP38" i="8"/>
  <c r="AO38" i="8"/>
  <c r="AN38" i="8"/>
  <c r="AM38" i="8"/>
  <c r="S38" i="8"/>
  <c r="R38" i="8"/>
  <c r="N38" i="8"/>
  <c r="M38" i="8"/>
  <c r="L38" i="8"/>
  <c r="K38" i="8"/>
  <c r="J38" i="8"/>
  <c r="I38" i="8"/>
  <c r="H38" i="8"/>
  <c r="G38" i="8"/>
  <c r="F38" i="8"/>
  <c r="E38" i="8"/>
  <c r="D38" i="8"/>
  <c r="C38" i="8"/>
  <c r="BI37" i="8"/>
  <c r="BH37" i="8"/>
  <c r="BG37" i="8"/>
  <c r="BD37" i="8"/>
  <c r="AQ37" i="8"/>
  <c r="AF37" i="8"/>
  <c r="AB37" i="8"/>
  <c r="T37" i="8"/>
  <c r="S37" i="8"/>
  <c r="Q37" i="8"/>
  <c r="P37" i="8"/>
  <c r="N37" i="8"/>
  <c r="M37" i="8"/>
  <c r="L37" i="8"/>
  <c r="K37" i="8"/>
  <c r="J37" i="8"/>
  <c r="I37" i="8"/>
  <c r="H37" i="8"/>
  <c r="G37" i="8"/>
  <c r="F37" i="8"/>
  <c r="E37" i="8"/>
  <c r="D37" i="8"/>
  <c r="C37" i="8"/>
  <c r="BJ36" i="8"/>
  <c r="BG36" i="8"/>
  <c r="AO36" i="8"/>
  <c r="AD36" i="8"/>
  <c r="T36" i="8"/>
  <c r="S36" i="8"/>
  <c r="R36" i="8"/>
  <c r="Q36" i="8"/>
  <c r="P36" i="8"/>
  <c r="N36" i="8"/>
  <c r="M36" i="8"/>
  <c r="L36" i="8"/>
  <c r="K36" i="8"/>
  <c r="J36" i="8"/>
  <c r="I36" i="8"/>
  <c r="H36" i="8"/>
  <c r="G36" i="8"/>
  <c r="F36" i="8"/>
  <c r="E36" i="8"/>
  <c r="D36" i="8"/>
  <c r="C36" i="8"/>
  <c r="BH35" i="8"/>
  <c r="AZ35" i="8"/>
  <c r="AZ39" i="8" s="1"/>
  <c r="AX35" i="8"/>
  <c r="AX39" i="8" s="1"/>
  <c r="L35" i="8"/>
  <c r="L39" i="8" s="1"/>
  <c r="L32" i="8"/>
  <c r="BB31" i="8"/>
  <c r="BA31" i="8"/>
  <c r="AZ31" i="8"/>
  <c r="AY31" i="8"/>
  <c r="AX31" i="8"/>
  <c r="AW31" i="8"/>
  <c r="AV31" i="8"/>
  <c r="AU31" i="8"/>
  <c r="AT31" i="8"/>
  <c r="Z31" i="8"/>
  <c r="Y31" i="8"/>
  <c r="N31" i="8"/>
  <c r="M31" i="8"/>
  <c r="L31" i="8"/>
  <c r="K31" i="8"/>
  <c r="J31" i="8"/>
  <c r="I31" i="8"/>
  <c r="H31" i="8"/>
  <c r="G31" i="8"/>
  <c r="F31" i="8"/>
  <c r="E31" i="8"/>
  <c r="D31" i="8"/>
  <c r="C31" i="8"/>
  <c r="AV30" i="8"/>
  <c r="AU30" i="8"/>
  <c r="AI30" i="8"/>
  <c r="AH30" i="8"/>
  <c r="Y30" i="8"/>
  <c r="X30" i="8"/>
  <c r="W30" i="8"/>
  <c r="V30" i="8"/>
  <c r="N30" i="8"/>
  <c r="M30" i="8"/>
  <c r="L30" i="8"/>
  <c r="K30" i="8"/>
  <c r="J30" i="8"/>
  <c r="I30" i="8"/>
  <c r="H30" i="8"/>
  <c r="G30" i="8"/>
  <c r="F30" i="8"/>
  <c r="E30" i="8"/>
  <c r="D30" i="8"/>
  <c r="C30" i="8"/>
  <c r="BJ29" i="8"/>
  <c r="BI29" i="8"/>
  <c r="BH29" i="8"/>
  <c r="AO29" i="8"/>
  <c r="AM29" i="8"/>
  <c r="AF29" i="8"/>
  <c r="AE29" i="8"/>
  <c r="AC29" i="8"/>
  <c r="Z29" i="8"/>
  <c r="Y29" i="8"/>
  <c r="N29" i="8"/>
  <c r="M29" i="8"/>
  <c r="L29" i="8"/>
  <c r="K29" i="8"/>
  <c r="J29" i="8"/>
  <c r="I29" i="8"/>
  <c r="H29" i="8"/>
  <c r="G29" i="8"/>
  <c r="F29" i="8"/>
  <c r="E29" i="8"/>
  <c r="D29" i="8"/>
  <c r="C29" i="8"/>
  <c r="BH28" i="8"/>
  <c r="AZ28" i="8"/>
  <c r="AZ32" i="8" s="1"/>
  <c r="AX28" i="8"/>
  <c r="AX32" i="8" s="1"/>
  <c r="AW28" i="8"/>
  <c r="AW32" i="8" s="1"/>
  <c r="AU28" i="8"/>
  <c r="AU32" i="8" s="1"/>
  <c r="AS28" i="8"/>
  <c r="S28" i="8"/>
  <c r="S32" i="8" s="1"/>
  <c r="Q28" i="8"/>
  <c r="M28" i="8"/>
  <c r="M32" i="8" s="1"/>
  <c r="AZ25" i="8"/>
  <c r="AZ41" i="8" s="1"/>
  <c r="AO25" i="8"/>
  <c r="AN25" i="8"/>
  <c r="BJ24" i="8"/>
  <c r="BI24" i="8"/>
  <c r="BG24" i="8"/>
  <c r="BF24" i="8"/>
  <c r="BE24" i="8"/>
  <c r="AS24" i="8"/>
  <c r="AP24" i="8"/>
  <c r="X24" i="8"/>
  <c r="R24" i="8"/>
  <c r="N24" i="8"/>
  <c r="M24" i="8"/>
  <c r="L24" i="8"/>
  <c r="K24" i="8"/>
  <c r="J24" i="8"/>
  <c r="I24" i="8"/>
  <c r="H24" i="8"/>
  <c r="G24" i="8"/>
  <c r="F24" i="8"/>
  <c r="E24" i="8"/>
  <c r="D24" i="8"/>
  <c r="C24" i="8"/>
  <c r="BE23" i="8"/>
  <c r="BD23" i="8"/>
  <c r="AH23" i="8"/>
  <c r="AC23" i="8"/>
  <c r="Z23" i="8"/>
  <c r="Y23" i="8"/>
  <c r="X23" i="8"/>
  <c r="W23" i="8"/>
  <c r="N23" i="8"/>
  <c r="M23" i="8"/>
  <c r="L23" i="8"/>
  <c r="K23" i="8"/>
  <c r="J23" i="8"/>
  <c r="I23" i="8"/>
  <c r="H23" i="8"/>
  <c r="G23" i="8"/>
  <c r="F23" i="8"/>
  <c r="E23" i="8"/>
  <c r="D23" i="8"/>
  <c r="C23" i="8"/>
  <c r="BD22" i="8"/>
  <c r="BB22" i="8"/>
  <c r="AZ22" i="8"/>
  <c r="T22" i="8"/>
  <c r="N22" i="8"/>
  <c r="M22" i="8"/>
  <c r="L22" i="8"/>
  <c r="K22" i="8"/>
  <c r="J22" i="8"/>
  <c r="I22" i="8"/>
  <c r="H22" i="8"/>
  <c r="G22" i="8"/>
  <c r="F22" i="8"/>
  <c r="E22" i="8"/>
  <c r="D22" i="8"/>
  <c r="C22" i="8"/>
  <c r="BH21" i="8"/>
  <c r="AO21" i="8"/>
  <c r="AL21" i="8"/>
  <c r="AJ21" i="8"/>
  <c r="K21" i="8"/>
  <c r="K25" i="8" s="1"/>
  <c r="J21" i="8"/>
  <c r="J25" i="8" s="1"/>
  <c r="N15" i="8"/>
  <c r="BJ14" i="8"/>
  <c r="BB14" i="8"/>
  <c r="AZ14" i="8"/>
  <c r="AY14" i="8"/>
  <c r="AX14" i="8"/>
  <c r="AW14" i="8"/>
  <c r="AV14" i="8"/>
  <c r="AU14" i="8"/>
  <c r="AT14" i="8"/>
  <c r="AR14" i="8"/>
  <c r="AN14" i="8"/>
  <c r="AL14" i="8"/>
  <c r="AD14" i="8"/>
  <c r="X14" i="8"/>
  <c r="W14" i="8"/>
  <c r="V14" i="8"/>
  <c r="U14" i="8"/>
  <c r="T14" i="8"/>
  <c r="S14" i="8"/>
  <c r="O14" i="8"/>
  <c r="M14" i="8"/>
  <c r="G14" i="8"/>
  <c r="F14" i="8"/>
  <c r="D14" i="8"/>
  <c r="AW13" i="8"/>
  <c r="K13" i="8"/>
  <c r="J13" i="8"/>
  <c r="BJ12" i="8"/>
  <c r="BI12" i="8"/>
  <c r="BH12" i="8"/>
  <c r="BE12" i="8"/>
  <c r="BD12" i="8"/>
  <c r="BC12" i="8"/>
  <c r="AT12" i="8"/>
  <c r="AR12" i="8"/>
  <c r="AP12" i="8"/>
  <c r="AB12" i="8"/>
  <c r="Z12" i="8"/>
  <c r="R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H11" i="8"/>
  <c r="BG11" i="8"/>
  <c r="BF11" i="8"/>
  <c r="BC11" i="8"/>
  <c r="AZ11" i="8"/>
  <c r="AY11" i="8"/>
  <c r="AO11" i="8"/>
  <c r="X11" i="8"/>
  <c r="W11" i="8"/>
  <c r="W15" i="8" s="1"/>
  <c r="N11" i="8"/>
  <c r="M11" i="8"/>
  <c r="L11" i="8"/>
  <c r="K11" i="8"/>
  <c r="J11" i="8"/>
  <c r="I11" i="8"/>
  <c r="H11" i="8"/>
  <c r="G11" i="8"/>
  <c r="F11" i="8"/>
  <c r="E11" i="8"/>
  <c r="D11" i="8"/>
  <c r="C11" i="8"/>
  <c r="BJ7" i="8"/>
  <c r="BI7" i="8"/>
  <c r="BI14" i="8" s="1"/>
  <c r="BH7" i="8"/>
  <c r="BH14" i="8" s="1"/>
  <c r="BG7" i="8"/>
  <c r="BG14" i="8" s="1"/>
  <c r="BF7" i="8"/>
  <c r="BF14" i="8" s="1"/>
  <c r="BE7" i="8"/>
  <c r="BE14" i="8" s="1"/>
  <c r="BD7" i="8"/>
  <c r="BD14" i="8" s="1"/>
  <c r="BC7" i="8"/>
  <c r="BC14" i="8" s="1"/>
  <c r="BB7" i="8"/>
  <c r="BA7" i="8"/>
  <c r="BA14" i="8" s="1"/>
  <c r="AZ7" i="8"/>
  <c r="AY7" i="8"/>
  <c r="AX7" i="8"/>
  <c r="AW7" i="8"/>
  <c r="AV7" i="8"/>
  <c r="AU7" i="8"/>
  <c r="AT7" i="8"/>
  <c r="AS7" i="8"/>
  <c r="AS14" i="8" s="1"/>
  <c r="AR7" i="8"/>
  <c r="AQ7" i="8"/>
  <c r="AQ14" i="8" s="1"/>
  <c r="AP7" i="8"/>
  <c r="AP14" i="8" s="1"/>
  <c r="AO7" i="8"/>
  <c r="AO14" i="8" s="1"/>
  <c r="AN7" i="8"/>
  <c r="AM7" i="8"/>
  <c r="AM14" i="8" s="1"/>
  <c r="AL7" i="8"/>
  <c r="AK7" i="8"/>
  <c r="AK14" i="8" s="1"/>
  <c r="AJ7" i="8"/>
  <c r="AJ14" i="8" s="1"/>
  <c r="AI7" i="8"/>
  <c r="AI14" i="8" s="1"/>
  <c r="AH7" i="8"/>
  <c r="AH14" i="8" s="1"/>
  <c r="AG7" i="8"/>
  <c r="AG14" i="8" s="1"/>
  <c r="AF7" i="8"/>
  <c r="AF14" i="8" s="1"/>
  <c r="AE7" i="8"/>
  <c r="AE14" i="8" s="1"/>
  <c r="AD7" i="8"/>
  <c r="AC7" i="8"/>
  <c r="AC14" i="8" s="1"/>
  <c r="AB7" i="8"/>
  <c r="AB14" i="8" s="1"/>
  <c r="AA7" i="8"/>
  <c r="AA14" i="8" s="1"/>
  <c r="Z7" i="8"/>
  <c r="Z14" i="8" s="1"/>
  <c r="Y7" i="8"/>
  <c r="Y14" i="8" s="1"/>
  <c r="X7" i="8"/>
  <c r="W7" i="8"/>
  <c r="V7" i="8"/>
  <c r="U7" i="8"/>
  <c r="T7" i="8"/>
  <c r="S7" i="8"/>
  <c r="R7" i="8"/>
  <c r="R14" i="8" s="1"/>
  <c r="Q7" i="8"/>
  <c r="Q14" i="8" s="1"/>
  <c r="P7" i="8"/>
  <c r="P14" i="8" s="1"/>
  <c r="O7" i="8"/>
  <c r="N7" i="8"/>
  <c r="N14" i="8" s="1"/>
  <c r="M7" i="8"/>
  <c r="L7" i="8"/>
  <c r="L14" i="8" s="1"/>
  <c r="K7" i="8"/>
  <c r="K14" i="8" s="1"/>
  <c r="J7" i="8"/>
  <c r="J14" i="8" s="1"/>
  <c r="I7" i="8"/>
  <c r="I14" i="8" s="1"/>
  <c r="H7" i="8"/>
  <c r="H14" i="8" s="1"/>
  <c r="G7" i="8"/>
  <c r="F7" i="8"/>
  <c r="E7" i="8"/>
  <c r="E14" i="8" s="1"/>
  <c r="D7" i="8"/>
  <c r="C7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J27" i="7"/>
  <c r="BJ45" i="8" s="1"/>
  <c r="BI27" i="7"/>
  <c r="BI45" i="8" s="1"/>
  <c r="BH27" i="7"/>
  <c r="BH45" i="8" s="1"/>
  <c r="BG27" i="7"/>
  <c r="BF27" i="7"/>
  <c r="BE27" i="7"/>
  <c r="BE45" i="8" s="1"/>
  <c r="BD27" i="7"/>
  <c r="BC27" i="7"/>
  <c r="BB27" i="7"/>
  <c r="BA27" i="7"/>
  <c r="AZ27" i="7"/>
  <c r="AZ7" i="9" s="1"/>
  <c r="AY27" i="7"/>
  <c r="AY7" i="9" s="1"/>
  <c r="AX27" i="7"/>
  <c r="AW27" i="7"/>
  <c r="AV27" i="7"/>
  <c r="AV7" i="9" s="1"/>
  <c r="AU27" i="7"/>
  <c r="AT27" i="7"/>
  <c r="AS27" i="7"/>
  <c r="AR27" i="7"/>
  <c r="AR45" i="8" s="1"/>
  <c r="AQ27" i="7"/>
  <c r="AP27" i="7"/>
  <c r="AP45" i="8" s="1"/>
  <c r="AO27" i="7"/>
  <c r="AO7" i="9" s="1"/>
  <c r="AN27" i="7"/>
  <c r="AN7" i="9" s="1"/>
  <c r="AM27" i="7"/>
  <c r="AL27" i="7"/>
  <c r="AL7" i="9" s="1"/>
  <c r="AK27" i="7"/>
  <c r="AJ27" i="7"/>
  <c r="AJ45" i="8" s="1"/>
  <c r="AI27" i="7"/>
  <c r="AH27" i="7"/>
  <c r="AG27" i="7"/>
  <c r="AF27" i="7"/>
  <c r="AE27" i="7"/>
  <c r="AD27" i="7"/>
  <c r="AC27" i="7"/>
  <c r="AB27" i="7"/>
  <c r="AB45" i="8" s="1"/>
  <c r="AA27" i="7"/>
  <c r="Z27" i="7"/>
  <c r="Z7" i="9" s="1"/>
  <c r="Y27" i="7"/>
  <c r="X27" i="7"/>
  <c r="W27" i="7"/>
  <c r="W7" i="9" s="1"/>
  <c r="V27" i="7"/>
  <c r="V7" i="9" s="1"/>
  <c r="U27" i="7"/>
  <c r="U7" i="9" s="1"/>
  <c r="T27" i="7"/>
  <c r="S27" i="7"/>
  <c r="R27" i="7"/>
  <c r="R7" i="9" s="1"/>
  <c r="Q27" i="7"/>
  <c r="Q7" i="9" s="1"/>
  <c r="P27" i="7"/>
  <c r="P7" i="9" s="1"/>
  <c r="O27" i="7"/>
  <c r="O7" i="9" s="1"/>
  <c r="N27" i="7"/>
  <c r="N7" i="9" s="1"/>
  <c r="M27" i="7"/>
  <c r="L27" i="7"/>
  <c r="L7" i="9" s="1"/>
  <c r="K27" i="7"/>
  <c r="J27" i="7"/>
  <c r="I27" i="7"/>
  <c r="H27" i="7"/>
  <c r="G27" i="7"/>
  <c r="F27" i="7"/>
  <c r="E27" i="7"/>
  <c r="D27" i="7"/>
  <c r="D45" i="8" s="1"/>
  <c r="C27" i="7"/>
  <c r="BP26" i="7"/>
  <c r="BO26" i="7"/>
  <c r="BN26" i="7"/>
  <c r="BM26" i="7"/>
  <c r="BL26" i="7"/>
  <c r="BK26" i="7"/>
  <c r="BJ24" i="7"/>
  <c r="BI24" i="7"/>
  <c r="BI38" i="8" s="1"/>
  <c r="BH24" i="7"/>
  <c r="BG24" i="7"/>
  <c r="BG38" i="8" s="1"/>
  <c r="BF24" i="7"/>
  <c r="BF38" i="8" s="1"/>
  <c r="BE24" i="7"/>
  <c r="BE38" i="8" s="1"/>
  <c r="BD24" i="7"/>
  <c r="BD38" i="8" s="1"/>
  <c r="BC24" i="7"/>
  <c r="BC38" i="8" s="1"/>
  <c r="BB24" i="7"/>
  <c r="BB38" i="8" s="1"/>
  <c r="BA24" i="7"/>
  <c r="BA38" i="8" s="1"/>
  <c r="AZ24" i="7"/>
  <c r="AZ38" i="8" s="1"/>
  <c r="AY24" i="7"/>
  <c r="AY38" i="8" s="1"/>
  <c r="AX24" i="7"/>
  <c r="AX38" i="8" s="1"/>
  <c r="AW24" i="7"/>
  <c r="AW38" i="8" s="1"/>
  <c r="AV24" i="7"/>
  <c r="AV38" i="8" s="1"/>
  <c r="AU24" i="7"/>
  <c r="AU38" i="8" s="1"/>
  <c r="AT24" i="7"/>
  <c r="AT38" i="8" s="1"/>
  <c r="AS24" i="7"/>
  <c r="AR24" i="7"/>
  <c r="AQ24" i="7"/>
  <c r="AQ38" i="8" s="1"/>
  <c r="AP24" i="7"/>
  <c r="AO24" i="7"/>
  <c r="AN24" i="7"/>
  <c r="AM24" i="7"/>
  <c r="AE24" i="7"/>
  <c r="AE38" i="8" s="1"/>
  <c r="AC24" i="7"/>
  <c r="AC38" i="8" s="1"/>
  <c r="AB24" i="7"/>
  <c r="AB38" i="8" s="1"/>
  <c r="Z24" i="7"/>
  <c r="Y24" i="7"/>
  <c r="X24" i="7"/>
  <c r="W24" i="7"/>
  <c r="V24" i="7"/>
  <c r="V38" i="8" s="1"/>
  <c r="U24" i="7"/>
  <c r="T24" i="7"/>
  <c r="S24" i="7"/>
  <c r="R24" i="7"/>
  <c r="AD24" i="7" s="1"/>
  <c r="AD38" i="8" s="1"/>
  <c r="Q24" i="7"/>
  <c r="P24" i="7"/>
  <c r="P38" i="8" s="1"/>
  <c r="O24" i="7"/>
  <c r="BJ23" i="7"/>
  <c r="BJ37" i="8" s="1"/>
  <c r="BI23" i="7"/>
  <c r="BH23" i="7"/>
  <c r="BG23" i="7"/>
  <c r="BF23" i="7"/>
  <c r="BF37" i="8" s="1"/>
  <c r="BE23" i="7"/>
  <c r="BE37" i="8" s="1"/>
  <c r="BD23" i="7"/>
  <c r="BC23" i="7"/>
  <c r="BC37" i="8" s="1"/>
  <c r="BB23" i="7"/>
  <c r="BB37" i="8" s="1"/>
  <c r="BA23" i="7"/>
  <c r="BA37" i="8" s="1"/>
  <c r="AZ23" i="7"/>
  <c r="AZ37" i="8" s="1"/>
  <c r="AY23" i="7"/>
  <c r="AY37" i="8" s="1"/>
  <c r="AX23" i="7"/>
  <c r="AX37" i="8" s="1"/>
  <c r="AW23" i="7"/>
  <c r="AW37" i="8" s="1"/>
  <c r="AV23" i="7"/>
  <c r="AV37" i="8" s="1"/>
  <c r="AU23" i="7"/>
  <c r="AU37" i="8" s="1"/>
  <c r="AT23" i="7"/>
  <c r="AT37" i="8" s="1"/>
  <c r="AS23" i="7"/>
  <c r="AS37" i="8" s="1"/>
  <c r="AR23" i="7"/>
  <c r="AR37" i="8" s="1"/>
  <c r="AQ23" i="7"/>
  <c r="AP23" i="7"/>
  <c r="AP37" i="8" s="1"/>
  <c r="AO23" i="7"/>
  <c r="AO37" i="8" s="1"/>
  <c r="AN23" i="7"/>
  <c r="AN37" i="8" s="1"/>
  <c r="AM23" i="7"/>
  <c r="AM37" i="8" s="1"/>
  <c r="AE23" i="7"/>
  <c r="AE37" i="8" s="1"/>
  <c r="AD23" i="7"/>
  <c r="AD37" i="8" s="1"/>
  <c r="AC23" i="7"/>
  <c r="AC37" i="8" s="1"/>
  <c r="AB23" i="7"/>
  <c r="AA23" i="7"/>
  <c r="AA37" i="8" s="1"/>
  <c r="Z23" i="7"/>
  <c r="AL23" i="7" s="1"/>
  <c r="AL37" i="8" s="1"/>
  <c r="Y23" i="7"/>
  <c r="X23" i="7"/>
  <c r="W23" i="7"/>
  <c r="AI23" i="7" s="1"/>
  <c r="AI37" i="8" s="1"/>
  <c r="V23" i="7"/>
  <c r="U23" i="7"/>
  <c r="T23" i="7"/>
  <c r="AF23" i="7" s="1"/>
  <c r="S23" i="7"/>
  <c r="R23" i="7"/>
  <c r="R37" i="8" s="1"/>
  <c r="Q23" i="7"/>
  <c r="P23" i="7"/>
  <c r="O23" i="7"/>
  <c r="BJ22" i="7"/>
  <c r="BI22" i="7"/>
  <c r="BI36" i="8" s="1"/>
  <c r="BH22" i="7"/>
  <c r="BH36" i="8" s="1"/>
  <c r="BG22" i="7"/>
  <c r="BF22" i="7"/>
  <c r="BF36" i="8" s="1"/>
  <c r="BE22" i="7"/>
  <c r="BE36" i="8" s="1"/>
  <c r="BD22" i="7"/>
  <c r="BD36" i="8" s="1"/>
  <c r="BC22" i="7"/>
  <c r="BC36" i="8" s="1"/>
  <c r="BB22" i="7"/>
  <c r="BB36" i="8" s="1"/>
  <c r="BA22" i="7"/>
  <c r="BA36" i="8" s="1"/>
  <c r="AZ22" i="7"/>
  <c r="AZ36" i="8" s="1"/>
  <c r="AY22" i="7"/>
  <c r="AY36" i="8" s="1"/>
  <c r="AX22" i="7"/>
  <c r="AX36" i="8" s="1"/>
  <c r="AW22" i="7"/>
  <c r="AW36" i="8" s="1"/>
  <c r="AV22" i="7"/>
  <c r="AV36" i="8" s="1"/>
  <c r="AU22" i="7"/>
  <c r="AU36" i="8" s="1"/>
  <c r="AT22" i="7"/>
  <c r="AT36" i="8" s="1"/>
  <c r="AS22" i="7"/>
  <c r="AS36" i="8" s="1"/>
  <c r="AR22" i="7"/>
  <c r="AR36" i="8" s="1"/>
  <c r="AQ22" i="7"/>
  <c r="AQ36" i="8" s="1"/>
  <c r="AP22" i="7"/>
  <c r="AP36" i="8" s="1"/>
  <c r="AO22" i="7"/>
  <c r="AN22" i="7"/>
  <c r="AN36" i="8" s="1"/>
  <c r="AM22" i="7"/>
  <c r="AM36" i="8" s="1"/>
  <c r="AK22" i="7"/>
  <c r="AK36" i="8" s="1"/>
  <c r="AJ22" i="7"/>
  <c r="AJ36" i="8" s="1"/>
  <c r="AI22" i="7"/>
  <c r="AI36" i="8" s="1"/>
  <c r="AH22" i="7"/>
  <c r="AH36" i="8" s="1"/>
  <c r="AG22" i="7"/>
  <c r="AG36" i="8" s="1"/>
  <c r="AF22" i="7"/>
  <c r="AF36" i="8" s="1"/>
  <c r="AE22" i="7"/>
  <c r="AE36" i="8" s="1"/>
  <c r="AD22" i="7"/>
  <c r="AC22" i="7"/>
  <c r="AC36" i="8" s="1"/>
  <c r="AB22" i="7"/>
  <c r="AB36" i="8" s="1"/>
  <c r="Z22" i="7"/>
  <c r="Y22" i="7"/>
  <c r="Y36" i="8" s="1"/>
  <c r="X22" i="7"/>
  <c r="X36" i="8" s="1"/>
  <c r="W22" i="7"/>
  <c r="W36" i="8" s="1"/>
  <c r="V22" i="7"/>
  <c r="V36" i="8" s="1"/>
  <c r="U22" i="7"/>
  <c r="U36" i="8" s="1"/>
  <c r="T22" i="7"/>
  <c r="S22" i="7"/>
  <c r="R22" i="7"/>
  <c r="Q22" i="7"/>
  <c r="P22" i="7"/>
  <c r="O22" i="7"/>
  <c r="BJ19" i="7"/>
  <c r="BJ31" i="8" s="1"/>
  <c r="BI19" i="7"/>
  <c r="BI31" i="8" s="1"/>
  <c r="BH19" i="7"/>
  <c r="BH31" i="8" s="1"/>
  <c r="BG19" i="7"/>
  <c r="BG31" i="8" s="1"/>
  <c r="BF19" i="7"/>
  <c r="BF31" i="8" s="1"/>
  <c r="BE19" i="7"/>
  <c r="BE31" i="8" s="1"/>
  <c r="BD19" i="7"/>
  <c r="BD31" i="8" s="1"/>
  <c r="BC19" i="7"/>
  <c r="BC31" i="8" s="1"/>
  <c r="BB19" i="7"/>
  <c r="BA19" i="7"/>
  <c r="AZ19" i="7"/>
  <c r="AY19" i="7"/>
  <c r="AX19" i="7"/>
  <c r="AW19" i="7"/>
  <c r="AV19" i="7"/>
  <c r="AU19" i="7"/>
  <c r="AT19" i="7"/>
  <c r="AS19" i="7"/>
  <c r="AS31" i="8" s="1"/>
  <c r="AR19" i="7"/>
  <c r="AR31" i="8" s="1"/>
  <c r="AQ19" i="7"/>
  <c r="AQ31" i="8" s="1"/>
  <c r="AP19" i="7"/>
  <c r="AP31" i="8" s="1"/>
  <c r="AO19" i="7"/>
  <c r="AO31" i="8" s="1"/>
  <c r="AN19" i="7"/>
  <c r="AN31" i="8" s="1"/>
  <c r="AM19" i="7"/>
  <c r="AM31" i="8" s="1"/>
  <c r="AL19" i="7"/>
  <c r="AL31" i="8" s="1"/>
  <c r="AK19" i="7"/>
  <c r="AK31" i="8" s="1"/>
  <c r="AJ19" i="7"/>
  <c r="AJ31" i="8" s="1"/>
  <c r="AI19" i="7"/>
  <c r="AI31" i="8" s="1"/>
  <c r="AH19" i="7"/>
  <c r="AH31" i="8" s="1"/>
  <c r="AG19" i="7"/>
  <c r="AG31" i="8" s="1"/>
  <c r="AF19" i="7"/>
  <c r="AF31" i="8" s="1"/>
  <c r="AE19" i="7"/>
  <c r="AE31" i="8" s="1"/>
  <c r="Z19" i="7"/>
  <c r="Y19" i="7"/>
  <c r="X19" i="7"/>
  <c r="X31" i="8" s="1"/>
  <c r="W19" i="7"/>
  <c r="W31" i="8" s="1"/>
  <c r="V19" i="7"/>
  <c r="V31" i="8" s="1"/>
  <c r="U19" i="7"/>
  <c r="U31" i="8" s="1"/>
  <c r="T19" i="7"/>
  <c r="T31" i="8" s="1"/>
  <c r="S19" i="7"/>
  <c r="S31" i="8" s="1"/>
  <c r="R19" i="7"/>
  <c r="Q19" i="7"/>
  <c r="P19" i="7"/>
  <c r="O19" i="7"/>
  <c r="BJ18" i="7"/>
  <c r="BJ30" i="8" s="1"/>
  <c r="BI18" i="7"/>
  <c r="BI30" i="8" s="1"/>
  <c r="BH18" i="7"/>
  <c r="BH30" i="8" s="1"/>
  <c r="BG18" i="7"/>
  <c r="BG30" i="8" s="1"/>
  <c r="BF18" i="7"/>
  <c r="BF30" i="8" s="1"/>
  <c r="BE18" i="7"/>
  <c r="BE30" i="8" s="1"/>
  <c r="BD18" i="7"/>
  <c r="BD30" i="8" s="1"/>
  <c r="BC18" i="7"/>
  <c r="BC30" i="8" s="1"/>
  <c r="BB18" i="7"/>
  <c r="BB30" i="8" s="1"/>
  <c r="BA18" i="7"/>
  <c r="BA30" i="8" s="1"/>
  <c r="AZ18" i="7"/>
  <c r="AZ30" i="8" s="1"/>
  <c r="AY18" i="7"/>
  <c r="AY30" i="8" s="1"/>
  <c r="AX18" i="7"/>
  <c r="AX30" i="8" s="1"/>
  <c r="AW18" i="7"/>
  <c r="AW30" i="8" s="1"/>
  <c r="AV18" i="7"/>
  <c r="AU18" i="7"/>
  <c r="AT18" i="7"/>
  <c r="AT30" i="8" s="1"/>
  <c r="AS18" i="7"/>
  <c r="AS30" i="8" s="1"/>
  <c r="AR18" i="7"/>
  <c r="AR30" i="8" s="1"/>
  <c r="AQ18" i="7"/>
  <c r="AQ30" i="8" s="1"/>
  <c r="AP18" i="7"/>
  <c r="AP30" i="8" s="1"/>
  <c r="AO18" i="7"/>
  <c r="AO30" i="8" s="1"/>
  <c r="AN18" i="7"/>
  <c r="AN30" i="8" s="1"/>
  <c r="AM18" i="7"/>
  <c r="AM30" i="8" s="1"/>
  <c r="AE18" i="7"/>
  <c r="AE30" i="8" s="1"/>
  <c r="AC18" i="7"/>
  <c r="AC30" i="8" s="1"/>
  <c r="Z18" i="7"/>
  <c r="Y18" i="7"/>
  <c r="AK18" i="7" s="1"/>
  <c r="AK30" i="8" s="1"/>
  <c r="X18" i="7"/>
  <c r="AJ18" i="7" s="1"/>
  <c r="AJ30" i="8" s="1"/>
  <c r="W18" i="7"/>
  <c r="AI18" i="7" s="1"/>
  <c r="V18" i="7"/>
  <c r="AH18" i="7" s="1"/>
  <c r="U18" i="7"/>
  <c r="AG18" i="7" s="1"/>
  <c r="AG30" i="8" s="1"/>
  <c r="T18" i="7"/>
  <c r="AF18" i="7" s="1"/>
  <c r="AF30" i="8" s="1"/>
  <c r="S18" i="7"/>
  <c r="S30" i="8" s="1"/>
  <c r="R18" i="7"/>
  <c r="Q18" i="7"/>
  <c r="Q30" i="8" s="1"/>
  <c r="P18" i="7"/>
  <c r="O18" i="7"/>
  <c r="BJ17" i="7"/>
  <c r="BI17" i="7"/>
  <c r="BH17" i="7"/>
  <c r="BG17" i="7"/>
  <c r="BG29" i="8" s="1"/>
  <c r="BF17" i="7"/>
  <c r="BF29" i="8" s="1"/>
  <c r="BE17" i="7"/>
  <c r="BE29" i="8" s="1"/>
  <c r="BD17" i="7"/>
  <c r="BD29" i="8" s="1"/>
  <c r="BC17" i="7"/>
  <c r="BC29" i="8" s="1"/>
  <c r="BB17" i="7"/>
  <c r="BB29" i="8" s="1"/>
  <c r="BA17" i="7"/>
  <c r="BA29" i="8" s="1"/>
  <c r="AZ17" i="7"/>
  <c r="AZ29" i="8" s="1"/>
  <c r="AY17" i="7"/>
  <c r="AY29" i="8" s="1"/>
  <c r="AX17" i="7"/>
  <c r="AX29" i="8" s="1"/>
  <c r="AW17" i="7"/>
  <c r="AW29" i="8" s="1"/>
  <c r="AV17" i="7"/>
  <c r="AV29" i="8" s="1"/>
  <c r="AU17" i="7"/>
  <c r="AU29" i="8" s="1"/>
  <c r="AT17" i="7"/>
  <c r="AT29" i="8" s="1"/>
  <c r="AS17" i="7"/>
  <c r="AS29" i="8" s="1"/>
  <c r="AR17" i="7"/>
  <c r="AR29" i="8" s="1"/>
  <c r="AQ17" i="7"/>
  <c r="AQ29" i="8" s="1"/>
  <c r="AP17" i="7"/>
  <c r="AP29" i="8" s="1"/>
  <c r="AO17" i="7"/>
  <c r="AN17" i="7"/>
  <c r="AN29" i="8" s="1"/>
  <c r="AM17" i="7"/>
  <c r="AK17" i="7"/>
  <c r="AK29" i="8" s="1"/>
  <c r="AI17" i="7"/>
  <c r="AI29" i="8" s="1"/>
  <c r="AH17" i="7"/>
  <c r="AH29" i="8" s="1"/>
  <c r="AF17" i="7"/>
  <c r="AE17" i="7"/>
  <c r="AD17" i="7"/>
  <c r="AD29" i="8" s="1"/>
  <c r="AC17" i="7"/>
  <c r="AB17" i="7"/>
  <c r="AA17" i="7"/>
  <c r="AA29" i="8" s="1"/>
  <c r="Z17" i="7"/>
  <c r="AL17" i="7" s="1"/>
  <c r="AL29" i="8" s="1"/>
  <c r="Y17" i="7"/>
  <c r="X17" i="7"/>
  <c r="W17" i="7"/>
  <c r="W29" i="8" s="1"/>
  <c r="V17" i="7"/>
  <c r="V29" i="8" s="1"/>
  <c r="U17" i="7"/>
  <c r="U29" i="8" s="1"/>
  <c r="T17" i="7"/>
  <c r="T29" i="8" s="1"/>
  <c r="S17" i="7"/>
  <c r="S29" i="8" s="1"/>
  <c r="R17" i="7"/>
  <c r="R29" i="8" s="1"/>
  <c r="Q17" i="7"/>
  <c r="Q29" i="8" s="1"/>
  <c r="P17" i="7"/>
  <c r="O17" i="7"/>
  <c r="O29" i="8" s="1"/>
  <c r="BJ14" i="7"/>
  <c r="BI14" i="7"/>
  <c r="BH14" i="7"/>
  <c r="BH24" i="8" s="1"/>
  <c r="BG14" i="7"/>
  <c r="BF14" i="7"/>
  <c r="BE14" i="7"/>
  <c r="BD14" i="7"/>
  <c r="BD24" i="8" s="1"/>
  <c r="BC14" i="7"/>
  <c r="BC24" i="8" s="1"/>
  <c r="BB14" i="7"/>
  <c r="BB24" i="8" s="1"/>
  <c r="BA14" i="7"/>
  <c r="BA24" i="8" s="1"/>
  <c r="AZ14" i="7"/>
  <c r="AZ24" i="8" s="1"/>
  <c r="AY14" i="7"/>
  <c r="AY24" i="8" s="1"/>
  <c r="AX14" i="7"/>
  <c r="AX24" i="8" s="1"/>
  <c r="AW14" i="7"/>
  <c r="AW24" i="8" s="1"/>
  <c r="AV14" i="7"/>
  <c r="AV24" i="8" s="1"/>
  <c r="AU14" i="7"/>
  <c r="AU24" i="8" s="1"/>
  <c r="AT14" i="7"/>
  <c r="AT24" i="8" s="1"/>
  <c r="AS14" i="7"/>
  <c r="AR14" i="7"/>
  <c r="AR24" i="8" s="1"/>
  <c r="AQ14" i="7"/>
  <c r="AQ24" i="8" s="1"/>
  <c r="AP14" i="7"/>
  <c r="AO14" i="7"/>
  <c r="AO24" i="8" s="1"/>
  <c r="AN14" i="7"/>
  <c r="AN24" i="8" s="1"/>
  <c r="AM14" i="7"/>
  <c r="AM24" i="8" s="1"/>
  <c r="AL14" i="7"/>
  <c r="AL24" i="8" s="1"/>
  <c r="AJ14" i="7"/>
  <c r="AJ24" i="8" s="1"/>
  <c r="AI14" i="7"/>
  <c r="AI24" i="8" s="1"/>
  <c r="AH14" i="7"/>
  <c r="AH24" i="8" s="1"/>
  <c r="AG14" i="7"/>
  <c r="AG24" i="8" s="1"/>
  <c r="AE14" i="7"/>
  <c r="AE24" i="8" s="1"/>
  <c r="AD14" i="7"/>
  <c r="AD24" i="8" s="1"/>
  <c r="Z14" i="7"/>
  <c r="Z24" i="8" s="1"/>
  <c r="Y14" i="7"/>
  <c r="Y24" i="8" s="1"/>
  <c r="X14" i="7"/>
  <c r="W14" i="7"/>
  <c r="W24" i="8" s="1"/>
  <c r="V14" i="7"/>
  <c r="V24" i="8" s="1"/>
  <c r="U14" i="7"/>
  <c r="U24" i="8" s="1"/>
  <c r="T14" i="7"/>
  <c r="S14" i="7"/>
  <c r="S24" i="8" s="1"/>
  <c r="R14" i="7"/>
  <c r="Q14" i="7"/>
  <c r="P14" i="7"/>
  <c r="O14" i="7"/>
  <c r="BJ13" i="7"/>
  <c r="BJ23" i="8" s="1"/>
  <c r="BI13" i="7"/>
  <c r="BI23" i="8" s="1"/>
  <c r="BH13" i="7"/>
  <c r="BH23" i="8" s="1"/>
  <c r="BG13" i="7"/>
  <c r="BG23" i="8" s="1"/>
  <c r="BF13" i="7"/>
  <c r="BF23" i="8" s="1"/>
  <c r="BE13" i="7"/>
  <c r="BD13" i="7"/>
  <c r="BC13" i="7"/>
  <c r="BC23" i="8" s="1"/>
  <c r="BB13" i="7"/>
  <c r="BB23" i="8" s="1"/>
  <c r="BA13" i="7"/>
  <c r="BA23" i="8" s="1"/>
  <c r="AZ13" i="7"/>
  <c r="AZ23" i="8" s="1"/>
  <c r="AY13" i="7"/>
  <c r="AY23" i="8" s="1"/>
  <c r="AX13" i="7"/>
  <c r="AX23" i="8" s="1"/>
  <c r="AW13" i="7"/>
  <c r="AW23" i="8" s="1"/>
  <c r="AV13" i="7"/>
  <c r="AV23" i="8" s="1"/>
  <c r="AU13" i="7"/>
  <c r="AU23" i="8" s="1"/>
  <c r="AT13" i="7"/>
  <c r="AT23" i="8" s="1"/>
  <c r="AS13" i="7"/>
  <c r="AS23" i="8" s="1"/>
  <c r="AR13" i="7"/>
  <c r="AR23" i="8" s="1"/>
  <c r="AQ13" i="7"/>
  <c r="AQ23" i="8" s="1"/>
  <c r="AP13" i="7"/>
  <c r="AP23" i="8" s="1"/>
  <c r="AO13" i="7"/>
  <c r="AO23" i="8" s="1"/>
  <c r="AN13" i="7"/>
  <c r="AN23" i="8" s="1"/>
  <c r="AM13" i="7"/>
  <c r="AM23" i="8" s="1"/>
  <c r="AL13" i="7"/>
  <c r="AL23" i="8" s="1"/>
  <c r="AK13" i="7"/>
  <c r="AK23" i="8" s="1"/>
  <c r="AJ13" i="7"/>
  <c r="AJ23" i="8" s="1"/>
  <c r="AI13" i="7"/>
  <c r="AI23" i="8" s="1"/>
  <c r="AH13" i="7"/>
  <c r="AC13" i="7"/>
  <c r="Z13" i="7"/>
  <c r="Y13" i="7"/>
  <c r="X13" i="7"/>
  <c r="W13" i="7"/>
  <c r="V13" i="7"/>
  <c r="V23" i="8" s="1"/>
  <c r="U13" i="7"/>
  <c r="T13" i="7"/>
  <c r="S13" i="7"/>
  <c r="R13" i="7"/>
  <c r="Q13" i="7"/>
  <c r="Q23" i="8" s="1"/>
  <c r="P13" i="7"/>
  <c r="O13" i="7"/>
  <c r="BJ12" i="7"/>
  <c r="BJ22" i="8" s="1"/>
  <c r="BI12" i="7"/>
  <c r="BI22" i="8" s="1"/>
  <c r="BH12" i="7"/>
  <c r="BH22" i="8" s="1"/>
  <c r="BG12" i="7"/>
  <c r="BG22" i="8" s="1"/>
  <c r="BF12" i="7"/>
  <c r="BF22" i="8" s="1"/>
  <c r="BE12" i="7"/>
  <c r="BE22" i="8" s="1"/>
  <c r="BD12" i="7"/>
  <c r="BC12" i="7"/>
  <c r="BC22" i="8" s="1"/>
  <c r="BB12" i="7"/>
  <c r="BA12" i="7"/>
  <c r="BA22" i="8" s="1"/>
  <c r="AZ12" i="7"/>
  <c r="AY12" i="7"/>
  <c r="AY22" i="8" s="1"/>
  <c r="AX12" i="7"/>
  <c r="AX22" i="8" s="1"/>
  <c r="AW12" i="7"/>
  <c r="AW22" i="8" s="1"/>
  <c r="AV12" i="7"/>
  <c r="AV22" i="8" s="1"/>
  <c r="AU12" i="7"/>
  <c r="AU22" i="8" s="1"/>
  <c r="AT12" i="7"/>
  <c r="AT22" i="8" s="1"/>
  <c r="AS12" i="7"/>
  <c r="AS22" i="8" s="1"/>
  <c r="AR12" i="7"/>
  <c r="AR22" i="8" s="1"/>
  <c r="AQ12" i="7"/>
  <c r="AQ22" i="8" s="1"/>
  <c r="AP12" i="7"/>
  <c r="AP22" i="8" s="1"/>
  <c r="AO12" i="7"/>
  <c r="AO22" i="8" s="1"/>
  <c r="AN12" i="7"/>
  <c r="AN22" i="8" s="1"/>
  <c r="AM12" i="7"/>
  <c r="AM22" i="8" s="1"/>
  <c r="AF12" i="7"/>
  <c r="AF22" i="8" s="1"/>
  <c r="Z12" i="7"/>
  <c r="Y12" i="7"/>
  <c r="X12" i="7"/>
  <c r="W12" i="7"/>
  <c r="V12" i="7"/>
  <c r="U12" i="7"/>
  <c r="T12" i="7"/>
  <c r="S12" i="7"/>
  <c r="R12" i="7"/>
  <c r="Q12" i="7"/>
  <c r="P12" i="7"/>
  <c r="O12" i="7"/>
  <c r="BJ9" i="7"/>
  <c r="BI9" i="7"/>
  <c r="BH9" i="7"/>
  <c r="BG9" i="7"/>
  <c r="BG12" i="8" s="1"/>
  <c r="BF9" i="7"/>
  <c r="BF12" i="8" s="1"/>
  <c r="BE9" i="7"/>
  <c r="BD9" i="7"/>
  <c r="BC9" i="7"/>
  <c r="BB9" i="7"/>
  <c r="BB12" i="8" s="1"/>
  <c r="BA9" i="7"/>
  <c r="BA12" i="8" s="1"/>
  <c r="AZ9" i="7"/>
  <c r="AZ12" i="8" s="1"/>
  <c r="AY9" i="7"/>
  <c r="AY12" i="8" s="1"/>
  <c r="AX9" i="7"/>
  <c r="AX12" i="8" s="1"/>
  <c r="AW9" i="7"/>
  <c r="AW12" i="8" s="1"/>
  <c r="AV9" i="7"/>
  <c r="AV12" i="8" s="1"/>
  <c r="AU9" i="7"/>
  <c r="AU12" i="8" s="1"/>
  <c r="AT9" i="7"/>
  <c r="AS9" i="7"/>
  <c r="AS12" i="8" s="1"/>
  <c r="AR9" i="7"/>
  <c r="AQ9" i="7"/>
  <c r="AQ12" i="8" s="1"/>
  <c r="AP9" i="7"/>
  <c r="AO9" i="7"/>
  <c r="AO12" i="8" s="1"/>
  <c r="AN9" i="7"/>
  <c r="AN12" i="8" s="1"/>
  <c r="AM9" i="7"/>
  <c r="AM12" i="8" s="1"/>
  <c r="AI9" i="7"/>
  <c r="AI12" i="8" s="1"/>
  <c r="AD9" i="7"/>
  <c r="AD12" i="8" s="1"/>
  <c r="AC9" i="7"/>
  <c r="AC12" i="8" s="1"/>
  <c r="AB9" i="7"/>
  <c r="AA9" i="7"/>
  <c r="AA12" i="8" s="1"/>
  <c r="Z9" i="7"/>
  <c r="AL9" i="7" s="1"/>
  <c r="AL12" i="8" s="1"/>
  <c r="Y9" i="7"/>
  <c r="X9" i="7"/>
  <c r="W9" i="7"/>
  <c r="W12" i="8" s="1"/>
  <c r="V9" i="7"/>
  <c r="U9" i="7"/>
  <c r="T9" i="7"/>
  <c r="S9" i="7"/>
  <c r="R9" i="7"/>
  <c r="Q9" i="7"/>
  <c r="Q12" i="8" s="1"/>
  <c r="P9" i="7"/>
  <c r="O9" i="7"/>
  <c r="BJ8" i="7"/>
  <c r="BJ11" i="8" s="1"/>
  <c r="BI8" i="7"/>
  <c r="BI11" i="8" s="1"/>
  <c r="BH8" i="7"/>
  <c r="BG8" i="7"/>
  <c r="BF8" i="7"/>
  <c r="BE8" i="7"/>
  <c r="BE11" i="8" s="1"/>
  <c r="BD8" i="7"/>
  <c r="BD11" i="8" s="1"/>
  <c r="BC8" i="7"/>
  <c r="BB8" i="7"/>
  <c r="BB11" i="8" s="1"/>
  <c r="BA8" i="7"/>
  <c r="BA11" i="8" s="1"/>
  <c r="AZ8" i="7"/>
  <c r="AY8" i="7"/>
  <c r="AX8" i="7"/>
  <c r="AX11" i="8" s="1"/>
  <c r="AW8" i="7"/>
  <c r="AW11" i="8" s="1"/>
  <c r="AV8" i="7"/>
  <c r="AV11" i="8" s="1"/>
  <c r="AU8" i="7"/>
  <c r="AU11" i="8" s="1"/>
  <c r="AT8" i="7"/>
  <c r="AT11" i="8" s="1"/>
  <c r="AS8" i="7"/>
  <c r="AS11" i="8" s="1"/>
  <c r="AR8" i="7"/>
  <c r="AR11" i="8" s="1"/>
  <c r="AQ8" i="7"/>
  <c r="AQ11" i="8" s="1"/>
  <c r="AP8" i="7"/>
  <c r="AP11" i="8" s="1"/>
  <c r="AO8" i="7"/>
  <c r="AN8" i="7"/>
  <c r="AN11" i="8" s="1"/>
  <c r="AM8" i="7"/>
  <c r="AM11" i="8" s="1"/>
  <c r="AJ8" i="7"/>
  <c r="AJ11" i="8" s="1"/>
  <c r="AI8" i="7"/>
  <c r="AI11" i="8" s="1"/>
  <c r="AH8" i="7"/>
  <c r="AH11" i="8" s="1"/>
  <c r="AE8" i="7"/>
  <c r="AE11" i="8" s="1"/>
  <c r="AD8" i="7"/>
  <c r="AD11" i="8" s="1"/>
  <c r="AC8" i="7"/>
  <c r="AC11" i="8" s="1"/>
  <c r="AA8" i="7"/>
  <c r="AA11" i="8" s="1"/>
  <c r="Z8" i="7"/>
  <c r="Y8" i="7"/>
  <c r="X8" i="7"/>
  <c r="W8" i="7"/>
  <c r="V8" i="7"/>
  <c r="V11" i="8" s="1"/>
  <c r="U8" i="7"/>
  <c r="T8" i="7"/>
  <c r="S8" i="7"/>
  <c r="R8" i="7"/>
  <c r="R11" i="8" s="1"/>
  <c r="Q8" i="7"/>
  <c r="Q11" i="8" s="1"/>
  <c r="P8" i="7"/>
  <c r="P11" i="8" s="1"/>
  <c r="O8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W27" i="6"/>
  <c r="N27" i="6"/>
  <c r="F27" i="6"/>
  <c r="E27" i="6"/>
  <c r="D27" i="6"/>
  <c r="C27" i="6"/>
  <c r="BH25" i="6"/>
  <c r="BC25" i="6"/>
  <c r="BC35" i="8" s="1"/>
  <c r="BB25" i="6"/>
  <c r="BB35" i="8" s="1"/>
  <c r="AS25" i="6"/>
  <c r="AS35" i="8" s="1"/>
  <c r="AS39" i="8" s="1"/>
  <c r="AR25" i="6"/>
  <c r="AR35" i="8" s="1"/>
  <c r="AN25" i="6"/>
  <c r="AN35" i="8" s="1"/>
  <c r="AL25" i="6"/>
  <c r="AL35" i="8" s="1"/>
  <c r="AH25" i="6"/>
  <c r="AH35" i="8" s="1"/>
  <c r="AG25" i="6"/>
  <c r="AG35" i="8" s="1"/>
  <c r="AC25" i="6"/>
  <c r="AC35" i="8" s="1"/>
  <c r="AC39" i="8" s="1"/>
  <c r="S25" i="6"/>
  <c r="S35" i="8" s="1"/>
  <c r="Q25" i="6"/>
  <c r="Q35" i="8" s="1"/>
  <c r="P25" i="6"/>
  <c r="P35" i="8" s="1"/>
  <c r="N25" i="6"/>
  <c r="N35" i="8" s="1"/>
  <c r="N39" i="8" s="1"/>
  <c r="M25" i="6"/>
  <c r="M35" i="8" s="1"/>
  <c r="M39" i="8" s="1"/>
  <c r="L25" i="6"/>
  <c r="K25" i="6"/>
  <c r="K35" i="8" s="1"/>
  <c r="K39" i="8" s="1"/>
  <c r="J25" i="6"/>
  <c r="J35" i="8" s="1"/>
  <c r="J39" i="8" s="1"/>
  <c r="I25" i="6"/>
  <c r="I35" i="8" s="1"/>
  <c r="I39" i="8" s="1"/>
  <c r="H25" i="6"/>
  <c r="H35" i="8" s="1"/>
  <c r="H39" i="8" s="1"/>
  <c r="G25" i="6"/>
  <c r="G35" i="8" s="1"/>
  <c r="G39" i="8" s="1"/>
  <c r="F25" i="6"/>
  <c r="F35" i="8" s="1"/>
  <c r="E25" i="6"/>
  <c r="E35" i="8" s="1"/>
  <c r="D25" i="6"/>
  <c r="C25" i="6"/>
  <c r="BJ24" i="6"/>
  <c r="BJ25" i="6" s="1"/>
  <c r="BJ35" i="8" s="1"/>
  <c r="BJ39" i="8" s="1"/>
  <c r="BI24" i="6"/>
  <c r="BI25" i="6" s="1"/>
  <c r="BI35" i="8" s="1"/>
  <c r="BI39" i="8" s="1"/>
  <c r="BH24" i="6"/>
  <c r="BG24" i="6"/>
  <c r="BG25" i="6" s="1"/>
  <c r="BG35" i="8" s="1"/>
  <c r="BF24" i="6"/>
  <c r="BF25" i="6" s="1"/>
  <c r="BF35" i="8" s="1"/>
  <c r="BF39" i="8" s="1"/>
  <c r="BE24" i="6"/>
  <c r="BE25" i="6" s="1"/>
  <c r="BE35" i="8" s="1"/>
  <c r="BE39" i="8" s="1"/>
  <c r="BD24" i="6"/>
  <c r="BD25" i="6" s="1"/>
  <c r="BD35" i="8" s="1"/>
  <c r="BD39" i="8" s="1"/>
  <c r="BC24" i="6"/>
  <c r="BB24" i="6"/>
  <c r="BA24" i="6"/>
  <c r="BA25" i="6" s="1"/>
  <c r="BA35" i="8" s="1"/>
  <c r="AZ24" i="6"/>
  <c r="AZ25" i="6" s="1"/>
  <c r="AY24" i="6"/>
  <c r="AY25" i="6" s="1"/>
  <c r="AY35" i="8" s="1"/>
  <c r="AX24" i="6"/>
  <c r="AX25" i="6" s="1"/>
  <c r="AW24" i="6"/>
  <c r="AW25" i="6" s="1"/>
  <c r="AW35" i="8" s="1"/>
  <c r="AW39" i="8" s="1"/>
  <c r="AV24" i="6"/>
  <c r="AV25" i="6" s="1"/>
  <c r="AV35" i="8" s="1"/>
  <c r="AV39" i="8" s="1"/>
  <c r="AU24" i="6"/>
  <c r="AU25" i="6" s="1"/>
  <c r="AU35" i="8" s="1"/>
  <c r="AU39" i="8" s="1"/>
  <c r="AT24" i="6"/>
  <c r="AT25" i="6" s="1"/>
  <c r="AT35" i="8" s="1"/>
  <c r="AT39" i="8" s="1"/>
  <c r="AS24" i="6"/>
  <c r="AR24" i="6"/>
  <c r="AQ24" i="6"/>
  <c r="AQ25" i="6" s="1"/>
  <c r="AQ35" i="8" s="1"/>
  <c r="AQ39" i="8" s="1"/>
  <c r="AP24" i="6"/>
  <c r="AP25" i="6" s="1"/>
  <c r="AP35" i="8" s="1"/>
  <c r="AP39" i="8" s="1"/>
  <c r="AO24" i="6"/>
  <c r="AO25" i="6" s="1"/>
  <c r="AO35" i="8" s="1"/>
  <c r="AN24" i="6"/>
  <c r="AM24" i="6"/>
  <c r="AM25" i="6" s="1"/>
  <c r="AM35" i="8" s="1"/>
  <c r="AM39" i="8" s="1"/>
  <c r="AL24" i="6"/>
  <c r="AK24" i="6"/>
  <c r="AK25" i="6" s="1"/>
  <c r="AK35" i="8" s="1"/>
  <c r="AI24" i="6"/>
  <c r="AI25" i="6" s="1"/>
  <c r="AI35" i="8" s="1"/>
  <c r="AH24" i="6"/>
  <c r="AG24" i="6"/>
  <c r="AE24" i="6"/>
  <c r="AE25" i="6" s="1"/>
  <c r="AE35" i="8" s="1"/>
  <c r="AE39" i="8" s="1"/>
  <c r="Z24" i="6"/>
  <c r="Z25" i="6" s="1"/>
  <c r="Z35" i="8" s="1"/>
  <c r="Y24" i="6"/>
  <c r="Y25" i="6" s="1"/>
  <c r="Y35" i="8" s="1"/>
  <c r="X24" i="6"/>
  <c r="W24" i="6"/>
  <c r="W25" i="6" s="1"/>
  <c r="W35" i="8" s="1"/>
  <c r="V24" i="6"/>
  <c r="V25" i="6" s="1"/>
  <c r="V35" i="8" s="1"/>
  <c r="U24" i="6"/>
  <c r="U25" i="6" s="1"/>
  <c r="U35" i="8" s="1"/>
  <c r="T24" i="6"/>
  <c r="T25" i="6" s="1"/>
  <c r="T35" i="8" s="1"/>
  <c r="S24" i="6"/>
  <c r="R24" i="6"/>
  <c r="Q24" i="6"/>
  <c r="AC24" i="6" s="1"/>
  <c r="P24" i="6"/>
  <c r="AB24" i="6" s="1"/>
  <c r="AB25" i="6" s="1"/>
  <c r="AB35" i="8" s="1"/>
  <c r="O24" i="6"/>
  <c r="BJ20" i="6"/>
  <c r="BJ28" i="8" s="1"/>
  <c r="BJ32" i="8" s="1"/>
  <c r="BH20" i="6"/>
  <c r="BG20" i="6"/>
  <c r="BG28" i="8" s="1"/>
  <c r="BG32" i="8" s="1"/>
  <c r="BE20" i="6"/>
  <c r="BE28" i="8" s="1"/>
  <c r="BE32" i="8" s="1"/>
  <c r="BD20" i="6"/>
  <c r="BD28" i="8" s="1"/>
  <c r="BC20" i="6"/>
  <c r="BC28" i="8" s="1"/>
  <c r="BB20" i="6"/>
  <c r="BB28" i="8" s="1"/>
  <c r="AY20" i="6"/>
  <c r="AY28" i="8" s="1"/>
  <c r="AW20" i="6"/>
  <c r="AM20" i="6"/>
  <c r="AM28" i="8" s="1"/>
  <c r="AM32" i="8" s="1"/>
  <c r="AE20" i="6"/>
  <c r="AE28" i="8" s="1"/>
  <c r="AC20" i="6"/>
  <c r="AC28" i="8" s="1"/>
  <c r="Z20" i="6"/>
  <c r="Z28" i="8" s="1"/>
  <c r="Y20" i="6"/>
  <c r="Y28" i="8" s="1"/>
  <c r="Y32" i="8" s="1"/>
  <c r="W20" i="6"/>
  <c r="W28" i="8" s="1"/>
  <c r="S20" i="6"/>
  <c r="Q20" i="6"/>
  <c r="N20" i="6"/>
  <c r="N28" i="8" s="1"/>
  <c r="N32" i="8" s="1"/>
  <c r="M20" i="6"/>
  <c r="L20" i="6"/>
  <c r="L28" i="8" s="1"/>
  <c r="K20" i="6"/>
  <c r="K28" i="8" s="1"/>
  <c r="K32" i="8" s="1"/>
  <c r="J20" i="6"/>
  <c r="J28" i="8" s="1"/>
  <c r="I20" i="6"/>
  <c r="I28" i="8" s="1"/>
  <c r="I32" i="8" s="1"/>
  <c r="H20" i="6"/>
  <c r="H28" i="8" s="1"/>
  <c r="H32" i="8" s="1"/>
  <c r="G20" i="6"/>
  <c r="G28" i="8" s="1"/>
  <c r="G32" i="8" s="1"/>
  <c r="F20" i="6"/>
  <c r="F28" i="8" s="1"/>
  <c r="F32" i="8" s="1"/>
  <c r="E20" i="6"/>
  <c r="E28" i="8" s="1"/>
  <c r="E32" i="8" s="1"/>
  <c r="D20" i="6"/>
  <c r="D28" i="8" s="1"/>
  <c r="D32" i="8" s="1"/>
  <c r="C20" i="6"/>
  <c r="BJ19" i="6"/>
  <c r="BI19" i="6"/>
  <c r="BI20" i="6" s="1"/>
  <c r="BI28" i="8" s="1"/>
  <c r="BI32" i="8" s="1"/>
  <c r="BH19" i="6"/>
  <c r="BG19" i="6"/>
  <c r="BF19" i="6"/>
  <c r="BF20" i="6" s="1"/>
  <c r="BF28" i="8" s="1"/>
  <c r="BF32" i="8" s="1"/>
  <c r="BE19" i="6"/>
  <c r="BD19" i="6"/>
  <c r="BC19" i="6"/>
  <c r="BB19" i="6"/>
  <c r="BA19" i="6"/>
  <c r="BA20" i="6" s="1"/>
  <c r="BA28" i="8" s="1"/>
  <c r="BA32" i="8" s="1"/>
  <c r="AZ19" i="6"/>
  <c r="AZ20" i="6" s="1"/>
  <c r="AY19" i="6"/>
  <c r="AX19" i="6"/>
  <c r="AX20" i="6" s="1"/>
  <c r="AW19" i="6"/>
  <c r="AV19" i="6"/>
  <c r="AV20" i="6" s="1"/>
  <c r="AV28" i="8" s="1"/>
  <c r="AV32" i="8" s="1"/>
  <c r="AU19" i="6"/>
  <c r="AU20" i="6" s="1"/>
  <c r="AT19" i="6"/>
  <c r="AT20" i="6" s="1"/>
  <c r="AT28" i="8" s="1"/>
  <c r="AT32" i="8" s="1"/>
  <c r="AS19" i="6"/>
  <c r="AS20" i="6" s="1"/>
  <c r="AR19" i="6"/>
  <c r="AR20" i="6" s="1"/>
  <c r="AR28" i="8" s="1"/>
  <c r="AQ19" i="6"/>
  <c r="AQ20" i="6" s="1"/>
  <c r="AQ28" i="8" s="1"/>
  <c r="AQ32" i="8" s="1"/>
  <c r="AP19" i="6"/>
  <c r="AP20" i="6" s="1"/>
  <c r="AP28" i="8" s="1"/>
  <c r="AP32" i="8" s="1"/>
  <c r="AO19" i="6"/>
  <c r="AO20" i="6" s="1"/>
  <c r="AO28" i="8" s="1"/>
  <c r="AO32" i="8" s="1"/>
  <c r="AN19" i="6"/>
  <c r="AN20" i="6" s="1"/>
  <c r="AN28" i="8" s="1"/>
  <c r="AN32" i="8" s="1"/>
  <c r="AM19" i="6"/>
  <c r="AI19" i="6"/>
  <c r="AI20" i="6" s="1"/>
  <c r="AI28" i="8" s="1"/>
  <c r="AI32" i="8" s="1"/>
  <c r="AH19" i="6"/>
  <c r="AH20" i="6" s="1"/>
  <c r="AH28" i="8" s="1"/>
  <c r="AH32" i="8" s="1"/>
  <c r="AE19" i="6"/>
  <c r="Z19" i="6"/>
  <c r="AL19" i="6" s="1"/>
  <c r="AL20" i="6" s="1"/>
  <c r="AL28" i="8" s="1"/>
  <c r="Y19" i="6"/>
  <c r="AK19" i="6" s="1"/>
  <c r="AK20" i="6" s="1"/>
  <c r="AK28" i="8" s="1"/>
  <c r="AK32" i="8" s="1"/>
  <c r="X19" i="6"/>
  <c r="AJ19" i="6" s="1"/>
  <c r="AJ20" i="6" s="1"/>
  <c r="AJ28" i="8" s="1"/>
  <c r="W19" i="6"/>
  <c r="V19" i="6"/>
  <c r="V20" i="6" s="1"/>
  <c r="V28" i="8" s="1"/>
  <c r="U19" i="6"/>
  <c r="T19" i="6"/>
  <c r="S19" i="6"/>
  <c r="R19" i="6"/>
  <c r="Q19" i="6"/>
  <c r="AC19" i="6" s="1"/>
  <c r="P19" i="6"/>
  <c r="O19" i="6"/>
  <c r="BJ15" i="6"/>
  <c r="BJ21" i="8" s="1"/>
  <c r="BJ25" i="8" s="1"/>
  <c r="BH15" i="6"/>
  <c r="BG15" i="6"/>
  <c r="BG21" i="8" s="1"/>
  <c r="BG25" i="8" s="1"/>
  <c r="BF15" i="6"/>
  <c r="BF21" i="8" s="1"/>
  <c r="BF25" i="8" s="1"/>
  <c r="BF41" i="8" s="1"/>
  <c r="BE15" i="6"/>
  <c r="BE21" i="8" s="1"/>
  <c r="BD15" i="6"/>
  <c r="BD21" i="8" s="1"/>
  <c r="BA15" i="6"/>
  <c r="BA21" i="8" s="1"/>
  <c r="BA25" i="8" s="1"/>
  <c r="AY15" i="6"/>
  <c r="AY21" i="8" s="1"/>
  <c r="AY25" i="8" s="1"/>
  <c r="AV15" i="6"/>
  <c r="AV21" i="8" s="1"/>
  <c r="AV25" i="8" s="1"/>
  <c r="AU15" i="6"/>
  <c r="AU21" i="8" s="1"/>
  <c r="AT15" i="6"/>
  <c r="AT21" i="8" s="1"/>
  <c r="AS15" i="6"/>
  <c r="AS21" i="8" s="1"/>
  <c r="AQ15" i="6"/>
  <c r="AQ21" i="8" s="1"/>
  <c r="AM15" i="6"/>
  <c r="AM21" i="8" s="1"/>
  <c r="AM25" i="8" s="1"/>
  <c r="AM41" i="8" s="1"/>
  <c r="AL15" i="6"/>
  <c r="AE15" i="6"/>
  <c r="AE21" i="8" s="1"/>
  <c r="AD15" i="6"/>
  <c r="AD21" i="8" s="1"/>
  <c r="X15" i="6"/>
  <c r="X21" i="8" s="1"/>
  <c r="U15" i="6"/>
  <c r="U21" i="8" s="1"/>
  <c r="S15" i="6"/>
  <c r="S21" i="8" s="1"/>
  <c r="Q15" i="6"/>
  <c r="P15" i="6"/>
  <c r="P21" i="8" s="1"/>
  <c r="N15" i="6"/>
  <c r="N21" i="8" s="1"/>
  <c r="N25" i="8" s="1"/>
  <c r="N41" i="8" s="1"/>
  <c r="M15" i="6"/>
  <c r="M21" i="8" s="1"/>
  <c r="M25" i="8" s="1"/>
  <c r="L15" i="6"/>
  <c r="K15" i="6"/>
  <c r="J15" i="6"/>
  <c r="I15" i="6"/>
  <c r="I21" i="8" s="1"/>
  <c r="I25" i="8" s="1"/>
  <c r="H15" i="6"/>
  <c r="H21" i="8" s="1"/>
  <c r="H25" i="8" s="1"/>
  <c r="G15" i="6"/>
  <c r="G21" i="8" s="1"/>
  <c r="G25" i="8" s="1"/>
  <c r="G41" i="8" s="1"/>
  <c r="F15" i="6"/>
  <c r="F21" i="8" s="1"/>
  <c r="F25" i="8" s="1"/>
  <c r="E15" i="6"/>
  <c r="E21" i="8" s="1"/>
  <c r="E25" i="8" s="1"/>
  <c r="D15" i="6"/>
  <c r="D21" i="8" s="1"/>
  <c r="D25" i="8" s="1"/>
  <c r="C15" i="6"/>
  <c r="BJ14" i="6"/>
  <c r="BI14" i="6"/>
  <c r="BI15" i="6" s="1"/>
  <c r="BI21" i="8" s="1"/>
  <c r="BH14" i="6"/>
  <c r="BG14" i="6"/>
  <c r="BF14" i="6"/>
  <c r="BE14" i="6"/>
  <c r="BD14" i="6"/>
  <c r="BC14" i="6"/>
  <c r="BC15" i="6" s="1"/>
  <c r="BC21" i="8" s="1"/>
  <c r="BB14" i="6"/>
  <c r="BB15" i="6" s="1"/>
  <c r="BB21" i="8" s="1"/>
  <c r="BB25" i="8" s="1"/>
  <c r="BA14" i="6"/>
  <c r="AZ14" i="6"/>
  <c r="AZ15" i="6" s="1"/>
  <c r="AZ21" i="8" s="1"/>
  <c r="AY14" i="6"/>
  <c r="AX14" i="6"/>
  <c r="AX15" i="6" s="1"/>
  <c r="AX21" i="8" s="1"/>
  <c r="AX25" i="8" s="1"/>
  <c r="AX41" i="8" s="1"/>
  <c r="AW14" i="6"/>
  <c r="AW15" i="6" s="1"/>
  <c r="AW21" i="8" s="1"/>
  <c r="AW25" i="8" s="1"/>
  <c r="AV14" i="6"/>
  <c r="AU14" i="6"/>
  <c r="AT14" i="6"/>
  <c r="AS14" i="6"/>
  <c r="AR14" i="6"/>
  <c r="AR15" i="6" s="1"/>
  <c r="AR21" i="8" s="1"/>
  <c r="AQ14" i="6"/>
  <c r="AP14" i="6"/>
  <c r="AP15" i="6" s="1"/>
  <c r="AP21" i="8" s="1"/>
  <c r="AP25" i="8" s="1"/>
  <c r="AP41" i="8" s="1"/>
  <c r="AO14" i="6"/>
  <c r="AO15" i="6" s="1"/>
  <c r="AN14" i="6"/>
  <c r="AN15" i="6" s="1"/>
  <c r="AN21" i="8" s="1"/>
  <c r="AM14" i="6"/>
  <c r="AL14" i="6"/>
  <c r="AI14" i="6"/>
  <c r="AI15" i="6" s="1"/>
  <c r="AI21" i="8" s="1"/>
  <c r="AH14" i="6"/>
  <c r="AH15" i="6" s="1"/>
  <c r="AH21" i="8" s="1"/>
  <c r="AG14" i="6"/>
  <c r="AG15" i="6" s="1"/>
  <c r="AG21" i="8" s="1"/>
  <c r="AD14" i="6"/>
  <c r="AC14" i="6"/>
  <c r="AC15" i="6" s="1"/>
  <c r="AC21" i="8" s="1"/>
  <c r="AB14" i="6"/>
  <c r="AB15" i="6" s="1"/>
  <c r="AB21" i="8" s="1"/>
  <c r="Z14" i="6"/>
  <c r="Z15" i="6" s="1"/>
  <c r="Z21" i="8" s="1"/>
  <c r="Y14" i="6"/>
  <c r="X14" i="6"/>
  <c r="AJ14" i="6" s="1"/>
  <c r="AJ15" i="6" s="1"/>
  <c r="W14" i="6"/>
  <c r="W15" i="6" s="1"/>
  <c r="W21" i="8" s="1"/>
  <c r="V14" i="6"/>
  <c r="V15" i="6" s="1"/>
  <c r="V21" i="8" s="1"/>
  <c r="U14" i="6"/>
  <c r="T14" i="6"/>
  <c r="S14" i="6"/>
  <c r="AE14" i="6" s="1"/>
  <c r="R14" i="6"/>
  <c r="R15" i="6" s="1"/>
  <c r="R21" i="8" s="1"/>
  <c r="Q14" i="6"/>
  <c r="P14" i="6"/>
  <c r="O14" i="6"/>
  <c r="BH10" i="6"/>
  <c r="BH13" i="8" s="1"/>
  <c r="BG10" i="6"/>
  <c r="BF10" i="6"/>
  <c r="BF13" i="8" s="1"/>
  <c r="BA10" i="6"/>
  <c r="AZ10" i="6"/>
  <c r="AY10" i="6"/>
  <c r="AV10" i="6"/>
  <c r="AV27" i="6" s="1"/>
  <c r="AT10" i="6"/>
  <c r="AS10" i="6"/>
  <c r="AR10" i="6"/>
  <c r="AQ10" i="6"/>
  <c r="AO10" i="6"/>
  <c r="AN10" i="6"/>
  <c r="AM10" i="6"/>
  <c r="AH10" i="6"/>
  <c r="AB10" i="6"/>
  <c r="W10" i="6"/>
  <c r="W13" i="8" s="1"/>
  <c r="T10" i="6"/>
  <c r="T13" i="8" s="1"/>
  <c r="Q10" i="6"/>
  <c r="Q13" i="8" s="1"/>
  <c r="P10" i="6"/>
  <c r="O10" i="6"/>
  <c r="N10" i="6"/>
  <c r="N13" i="8" s="1"/>
  <c r="M10" i="6"/>
  <c r="L10" i="6"/>
  <c r="K10" i="6"/>
  <c r="J10" i="6"/>
  <c r="I10" i="6"/>
  <c r="H10" i="6"/>
  <c r="G10" i="6"/>
  <c r="F10" i="6"/>
  <c r="F13" i="8" s="1"/>
  <c r="E10" i="6"/>
  <c r="E13" i="8" s="1"/>
  <c r="D10" i="6"/>
  <c r="D13" i="8" s="1"/>
  <c r="C10" i="6"/>
  <c r="BJ9" i="6"/>
  <c r="BJ10" i="6" s="1"/>
  <c r="BI9" i="6"/>
  <c r="BI10" i="6" s="1"/>
  <c r="BH9" i="6"/>
  <c r="BG9" i="6"/>
  <c r="BF9" i="6"/>
  <c r="BE9" i="6"/>
  <c r="BE10" i="6" s="1"/>
  <c r="BD9" i="6"/>
  <c r="BD10" i="6" s="1"/>
  <c r="BC9" i="6"/>
  <c r="BC10" i="6" s="1"/>
  <c r="BB9" i="6"/>
  <c r="BB10" i="6" s="1"/>
  <c r="BA9" i="6"/>
  <c r="AZ9" i="6"/>
  <c r="AY9" i="6"/>
  <c r="AX9" i="6"/>
  <c r="AX10" i="6" s="1"/>
  <c r="AW9" i="6"/>
  <c r="AW10" i="6" s="1"/>
  <c r="AV9" i="6"/>
  <c r="AU9" i="6"/>
  <c r="AU10" i="6" s="1"/>
  <c r="AT9" i="6"/>
  <c r="AS9" i="6"/>
  <c r="AR9" i="6"/>
  <c r="AQ9" i="6"/>
  <c r="AP9" i="6"/>
  <c r="AP10" i="6" s="1"/>
  <c r="AO9" i="6"/>
  <c r="AN9" i="6"/>
  <c r="AM9" i="6"/>
  <c r="AI9" i="6"/>
  <c r="AI10" i="6" s="1"/>
  <c r="AH9" i="6"/>
  <c r="AF9" i="6"/>
  <c r="AF10" i="6" s="1"/>
  <c r="AF13" i="8" s="1"/>
  <c r="AE9" i="6"/>
  <c r="AE10" i="6" s="1"/>
  <c r="AD9" i="6"/>
  <c r="AD10" i="6" s="1"/>
  <c r="AC9" i="6"/>
  <c r="AC10" i="6" s="1"/>
  <c r="Z9" i="6"/>
  <c r="Y9" i="6"/>
  <c r="X9" i="6"/>
  <c r="W9" i="6"/>
  <c r="V9" i="6"/>
  <c r="V10" i="6" s="1"/>
  <c r="U9" i="6"/>
  <c r="AG9" i="6" s="1"/>
  <c r="AG10" i="6" s="1"/>
  <c r="T9" i="6"/>
  <c r="S9" i="6"/>
  <c r="R9" i="6"/>
  <c r="R10" i="6" s="1"/>
  <c r="Q9" i="6"/>
  <c r="P9" i="6"/>
  <c r="AB9" i="6" s="1"/>
  <c r="O9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P104" i="4"/>
  <c r="BO104" i="4"/>
  <c r="BN104" i="4"/>
  <c r="BM104" i="4"/>
  <c r="BL104" i="4"/>
  <c r="BK104" i="4"/>
  <c r="BP101" i="4"/>
  <c r="BO101" i="4"/>
  <c r="BN101" i="4"/>
  <c r="C98" i="4"/>
  <c r="BP92" i="4"/>
  <c r="BO92" i="4"/>
  <c r="BN92" i="4"/>
  <c r="BP91" i="4"/>
  <c r="BO91" i="4"/>
  <c r="BN91" i="4"/>
  <c r="BP89" i="4"/>
  <c r="BO89" i="4"/>
  <c r="BN89" i="4"/>
  <c r="BP83" i="4"/>
  <c r="BO83" i="4"/>
  <c r="BN83" i="4"/>
  <c r="BP77" i="4"/>
  <c r="BO77" i="4"/>
  <c r="BN77" i="4"/>
  <c r="BP66" i="4"/>
  <c r="BO66" i="4"/>
  <c r="BN66" i="4"/>
  <c r="BP63" i="4"/>
  <c r="BO63" i="4"/>
  <c r="BN63" i="4"/>
  <c r="C60" i="4"/>
  <c r="BP56" i="4"/>
  <c r="BO56" i="4"/>
  <c r="BN56" i="4"/>
  <c r="C55" i="4"/>
  <c r="C53" i="4"/>
  <c r="C79" i="4" s="1"/>
  <c r="BP49" i="4"/>
  <c r="BO49" i="4"/>
  <c r="BN49" i="4"/>
  <c r="C46" i="4"/>
  <c r="C43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E34" i="4"/>
  <c r="BD34" i="4"/>
  <c r="BC34" i="4"/>
  <c r="BB34" i="4"/>
  <c r="BA34" i="4"/>
  <c r="AZ34" i="4"/>
  <c r="AY34" i="4"/>
  <c r="AQ34" i="4"/>
  <c r="AP34" i="4"/>
  <c r="C34" i="4"/>
  <c r="BJ32" i="4"/>
  <c r="BJ34" i="4" s="1"/>
  <c r="BI32" i="4"/>
  <c r="BI34" i="4" s="1"/>
  <c r="BH32" i="4"/>
  <c r="BH34" i="4" s="1"/>
  <c r="BG32" i="4"/>
  <c r="BG34" i="4" s="1"/>
  <c r="BF32" i="4"/>
  <c r="BF34" i="4" s="1"/>
  <c r="BE32" i="4"/>
  <c r="BD32" i="4"/>
  <c r="BC32" i="4"/>
  <c r="BB32" i="4"/>
  <c r="BA32" i="4"/>
  <c r="AZ32" i="4"/>
  <c r="AY32" i="4"/>
  <c r="AX32" i="4"/>
  <c r="AX34" i="4" s="1"/>
  <c r="AW32" i="4"/>
  <c r="AW34" i="4" s="1"/>
  <c r="AV32" i="4"/>
  <c r="AV34" i="4" s="1"/>
  <c r="AU32" i="4"/>
  <c r="AU34" i="4" s="1"/>
  <c r="AT32" i="4"/>
  <c r="AT34" i="4" s="1"/>
  <c r="AS32" i="4"/>
  <c r="AS34" i="4" s="1"/>
  <c r="AR32" i="4"/>
  <c r="AR34" i="4" s="1"/>
  <c r="AQ32" i="4"/>
  <c r="AP32" i="4"/>
  <c r="AO32" i="4"/>
  <c r="AO34" i="4" s="1"/>
  <c r="AN32" i="4"/>
  <c r="AN34" i="4" s="1"/>
  <c r="AN37" i="4" s="1"/>
  <c r="AM32" i="4"/>
  <c r="AM34" i="4" s="1"/>
  <c r="AM37" i="4" s="1"/>
  <c r="C32" i="4"/>
  <c r="BJ27" i="4"/>
  <c r="BI27" i="4"/>
  <c r="BC27" i="4"/>
  <c r="BB27" i="4"/>
  <c r="BA27" i="4"/>
  <c r="AZ27" i="4"/>
  <c r="AY27" i="4"/>
  <c r="AX27" i="4"/>
  <c r="AQ27" i="4"/>
  <c r="AO27" i="4"/>
  <c r="AO37" i="4" s="1"/>
  <c r="AN27" i="4"/>
  <c r="AM27" i="4"/>
  <c r="D27" i="4"/>
  <c r="C27" i="4"/>
  <c r="BJ25" i="4"/>
  <c r="BI25" i="4"/>
  <c r="BH25" i="4"/>
  <c r="BG25" i="4"/>
  <c r="BG27" i="4" s="1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C25" i="4"/>
  <c r="D25" i="4" s="1"/>
  <c r="AW20" i="4"/>
  <c r="AU20" i="4"/>
  <c r="AT20" i="4"/>
  <c r="AS20" i="4"/>
  <c r="AR20" i="4"/>
  <c r="AP20" i="4"/>
  <c r="BJ17" i="4"/>
  <c r="BJ20" i="4" s="1"/>
  <c r="BJ37" i="4" s="1"/>
  <c r="BI17" i="4"/>
  <c r="BI20" i="4" s="1"/>
  <c r="BI37" i="4" s="1"/>
  <c r="BH17" i="4"/>
  <c r="BH20" i="4" s="1"/>
  <c r="BG17" i="4"/>
  <c r="BG20" i="4" s="1"/>
  <c r="BF17" i="4"/>
  <c r="BF20" i="4" s="1"/>
  <c r="BE17" i="4"/>
  <c r="BE20" i="4" s="1"/>
  <c r="BD17" i="4"/>
  <c r="BD20" i="4" s="1"/>
  <c r="BC17" i="4"/>
  <c r="BC20" i="4" s="1"/>
  <c r="BC37" i="4" s="1"/>
  <c r="BC54" i="4" s="1"/>
  <c r="BC80" i="4" s="1"/>
  <c r="BB17" i="4"/>
  <c r="BB20" i="4" s="1"/>
  <c r="BB37" i="4" s="1"/>
  <c r="BA17" i="4"/>
  <c r="BA20" i="4" s="1"/>
  <c r="AZ17" i="4"/>
  <c r="AZ20" i="4" s="1"/>
  <c r="AY17" i="4"/>
  <c r="AY20" i="4" s="1"/>
  <c r="AX17" i="4"/>
  <c r="AX20" i="4" s="1"/>
  <c r="AW17" i="4"/>
  <c r="AV17" i="4"/>
  <c r="AV20" i="4" s="1"/>
  <c r="AU17" i="4"/>
  <c r="AT17" i="4"/>
  <c r="AS17" i="4"/>
  <c r="AR17" i="4"/>
  <c r="AQ17" i="4"/>
  <c r="AQ20" i="4" s="1"/>
  <c r="AP17" i="4"/>
  <c r="AO17" i="4"/>
  <c r="AO20" i="4" s="1"/>
  <c r="AN17" i="4"/>
  <c r="AN20" i="4" s="1"/>
  <c r="AM17" i="4"/>
  <c r="AM20" i="4" s="1"/>
  <c r="C17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1" i="1"/>
  <c r="AP27" i="4" l="1"/>
  <c r="AP37" i="4" s="1"/>
  <c r="C48" i="4"/>
  <c r="C73" i="4"/>
  <c r="AN54" i="4"/>
  <c r="AN80" i="4" s="1"/>
  <c r="AN61" i="4"/>
  <c r="AN86" i="4" s="1"/>
  <c r="BF37" i="4"/>
  <c r="AZ17" i="10"/>
  <c r="AR27" i="4"/>
  <c r="AR37" i="4" s="1"/>
  <c r="BP36" i="4"/>
  <c r="BK36" i="4"/>
  <c r="BL36" i="4"/>
  <c r="BO36" i="4"/>
  <c r="BM36" i="4"/>
  <c r="BN36" i="4"/>
  <c r="AX37" i="4"/>
  <c r="AY37" i="4"/>
  <c r="AK14" i="6"/>
  <c r="AK15" i="6" s="1"/>
  <c r="AK21" i="8" s="1"/>
  <c r="Y15" i="6"/>
  <c r="Y21" i="8" s="1"/>
  <c r="Y25" i="8" s="1"/>
  <c r="BI47" i="4"/>
  <c r="BI74" i="4" s="1"/>
  <c r="BI54" i="4"/>
  <c r="BI80" i="4" s="1"/>
  <c r="BJ47" i="4"/>
  <c r="BJ74" i="4" s="1"/>
  <c r="BJ54" i="4"/>
  <c r="BJ80" i="4" s="1"/>
  <c r="BJ61" i="4"/>
  <c r="BJ86" i="4" s="1"/>
  <c r="AM54" i="4"/>
  <c r="AM80" i="4" s="1"/>
  <c r="AM61" i="4"/>
  <c r="AM86" i="4" s="1"/>
  <c r="AM47" i="4"/>
  <c r="AM74" i="4" s="1"/>
  <c r="AO61" i="4"/>
  <c r="AO86" i="4" s="1"/>
  <c r="AO54" i="4"/>
  <c r="AO80" i="4" s="1"/>
  <c r="AO13" i="8"/>
  <c r="AO15" i="8" s="1"/>
  <c r="AO27" i="6"/>
  <c r="AN47" i="4"/>
  <c r="AN74" i="4" s="1"/>
  <c r="AQ13" i="8"/>
  <c r="AQ27" i="6"/>
  <c r="AE12" i="7"/>
  <c r="AE22" i="8" s="1"/>
  <c r="S22" i="8"/>
  <c r="S25" i="8" s="1"/>
  <c r="S41" i="8" s="1"/>
  <c r="BI61" i="4"/>
  <c r="BI86" i="4" s="1"/>
  <c r="C82" i="4"/>
  <c r="C81" i="4"/>
  <c r="AZ37" i="4"/>
  <c r="BA37" i="4"/>
  <c r="BB54" i="4"/>
  <c r="BB80" i="4" s="1"/>
  <c r="BB61" i="4"/>
  <c r="BB86" i="4" s="1"/>
  <c r="BB47" i="4"/>
  <c r="BB74" i="4" s="1"/>
  <c r="AO47" i="4"/>
  <c r="AO74" i="4" s="1"/>
  <c r="AR13" i="8"/>
  <c r="AR27" i="6"/>
  <c r="BD37" i="4"/>
  <c r="AT27" i="4"/>
  <c r="AT37" i="4" s="1"/>
  <c r="G13" i="8"/>
  <c r="G27" i="6"/>
  <c r="BL10" i="6"/>
  <c r="AY13" i="8"/>
  <c r="AY27" i="6"/>
  <c r="AM17" i="10"/>
  <c r="AU27" i="4"/>
  <c r="AU37" i="4" s="1"/>
  <c r="T39" i="8"/>
  <c r="AV27" i="4"/>
  <c r="AV37" i="4" s="1"/>
  <c r="BG37" i="4"/>
  <c r="AW27" i="4"/>
  <c r="AW37" i="4" s="1"/>
  <c r="AY39" i="8"/>
  <c r="BF27" i="6"/>
  <c r="AP17" i="10"/>
  <c r="AY41" i="8"/>
  <c r="BO10" i="6"/>
  <c r="AG13" i="8"/>
  <c r="O13" i="8"/>
  <c r="V13" i="8"/>
  <c r="V27" i="6"/>
  <c r="P13" i="8"/>
  <c r="AF24" i="6"/>
  <c r="AF25" i="6" s="1"/>
  <c r="AF35" i="8" s="1"/>
  <c r="AV13" i="8"/>
  <c r="AV15" i="8" s="1"/>
  <c r="BA17" i="12"/>
  <c r="AJ9" i="6"/>
  <c r="AJ10" i="6" s="1"/>
  <c r="X10" i="6"/>
  <c r="BB13" i="8"/>
  <c r="BB27" i="6"/>
  <c r="C20" i="4"/>
  <c r="BE27" i="4"/>
  <c r="BE37" i="4" s="1"/>
  <c r="D32" i="4"/>
  <c r="AK9" i="6"/>
  <c r="AK10" i="6" s="1"/>
  <c r="Y10" i="6"/>
  <c r="BC13" i="8"/>
  <c r="BC27" i="6"/>
  <c r="U10" i="6"/>
  <c r="AC32" i="8"/>
  <c r="AY17" i="12"/>
  <c r="BF17" i="12"/>
  <c r="BF27" i="4"/>
  <c r="AL9" i="6"/>
  <c r="AL10" i="6" s="1"/>
  <c r="Z10" i="6"/>
  <c r="BD13" i="8"/>
  <c r="BD15" i="8" s="1"/>
  <c r="BD27" i="6"/>
  <c r="AW41" i="8"/>
  <c r="L21" i="8"/>
  <c r="L25" i="8" s="1"/>
  <c r="L41" i="8" s="1"/>
  <c r="BL15" i="6"/>
  <c r="BC15" i="8"/>
  <c r="BC17" i="12"/>
  <c r="AC13" i="8"/>
  <c r="AC15" i="8" s="1"/>
  <c r="AC27" i="6"/>
  <c r="BE13" i="8"/>
  <c r="BE15" i="8" s="1"/>
  <c r="BE27" i="6"/>
  <c r="AX17" i="10"/>
  <c r="M41" i="8"/>
  <c r="AS27" i="4"/>
  <c r="AS37" i="4" s="1"/>
  <c r="AD13" i="8"/>
  <c r="AD15" i="8" s="1"/>
  <c r="AD27" i="6"/>
  <c r="N17" i="10"/>
  <c r="E25" i="4"/>
  <c r="D17" i="4"/>
  <c r="BD17" i="12"/>
  <c r="BD27" i="4"/>
  <c r="BF9" i="9"/>
  <c r="BF17" i="10"/>
  <c r="AE13" i="8"/>
  <c r="AE27" i="6"/>
  <c r="M15" i="8"/>
  <c r="BC47" i="4"/>
  <c r="BC74" i="4" s="1"/>
  <c r="C85" i="4"/>
  <c r="C62" i="4"/>
  <c r="AQ37" i="4"/>
  <c r="BC61" i="4"/>
  <c r="BC86" i="4" s="1"/>
  <c r="AX17" i="12"/>
  <c r="AN13" i="8"/>
  <c r="AN15" i="8" s="1"/>
  <c r="AN27" i="6"/>
  <c r="V25" i="8"/>
  <c r="AE32" i="8"/>
  <c r="Q32" i="8"/>
  <c r="AS13" i="8"/>
  <c r="AS15" i="8" s="1"/>
  <c r="AS27" i="6"/>
  <c r="BC25" i="8"/>
  <c r="AR32" i="8"/>
  <c r="C28" i="8"/>
  <c r="AR15" i="8"/>
  <c r="F45" i="8"/>
  <c r="F7" i="9"/>
  <c r="BO27" i="7"/>
  <c r="AD45" i="8"/>
  <c r="AD7" i="9"/>
  <c r="BB45" i="8"/>
  <c r="BB7" i="9"/>
  <c r="AS32" i="8"/>
  <c r="AT13" i="8"/>
  <c r="AT15" i="8" s="1"/>
  <c r="AT27" i="6"/>
  <c r="Q21" i="8"/>
  <c r="Q27" i="6"/>
  <c r="BJ41" i="8"/>
  <c r="BG39" i="8"/>
  <c r="BG41" i="8" s="1"/>
  <c r="O24" i="8"/>
  <c r="AA14" i="7"/>
  <c r="AA24" i="8" s="1"/>
  <c r="G45" i="8"/>
  <c r="G7" i="9"/>
  <c r="AE45" i="8"/>
  <c r="AE7" i="9"/>
  <c r="BC7" i="9"/>
  <c r="BC45" i="8"/>
  <c r="AY32" i="8"/>
  <c r="V12" i="8"/>
  <c r="AH9" i="7"/>
  <c r="AH12" i="8" s="1"/>
  <c r="P24" i="8"/>
  <c r="AB14" i="7"/>
  <c r="AB24" i="8" s="1"/>
  <c r="Q24" i="8"/>
  <c r="AC14" i="7"/>
  <c r="AC24" i="8" s="1"/>
  <c r="BP24" i="8" s="1"/>
  <c r="S11" i="8"/>
  <c r="J7" i="9"/>
  <c r="J45" i="8"/>
  <c r="AH45" i="8"/>
  <c r="AH7" i="9"/>
  <c r="BF45" i="8"/>
  <c r="BF7" i="9"/>
  <c r="BO9" i="6"/>
  <c r="BA13" i="8"/>
  <c r="BA15" i="8" s="1"/>
  <c r="BA27" i="6"/>
  <c r="BD32" i="8"/>
  <c r="T11" i="8"/>
  <c r="AF8" i="7"/>
  <c r="AF11" i="8" s="1"/>
  <c r="T38" i="8"/>
  <c r="AF24" i="7"/>
  <c r="AF38" i="8" s="1"/>
  <c r="K7" i="9"/>
  <c r="K45" i="8"/>
  <c r="AI45" i="8"/>
  <c r="AI7" i="9"/>
  <c r="BG45" i="8"/>
  <c r="BG7" i="9"/>
  <c r="BC32" i="8"/>
  <c r="BH27" i="4"/>
  <c r="BH37" i="4" s="1"/>
  <c r="T24" i="8"/>
  <c r="AF14" i="7"/>
  <c r="AF24" i="8" s="1"/>
  <c r="U38" i="8"/>
  <c r="AG24" i="7"/>
  <c r="AG38" i="8" s="1"/>
  <c r="AI25" i="8"/>
  <c r="U11" i="8"/>
  <c r="AG8" i="7"/>
  <c r="AG11" i="8" s="1"/>
  <c r="AG15" i="8" s="1"/>
  <c r="AU13" i="8"/>
  <c r="AU15" i="8" s="1"/>
  <c r="AU27" i="6"/>
  <c r="O23" i="8"/>
  <c r="AA13" i="7"/>
  <c r="AA23" i="8" s="1"/>
  <c r="BP22" i="7"/>
  <c r="BO22" i="7"/>
  <c r="BN22" i="7"/>
  <c r="BM22" i="7"/>
  <c r="O36" i="8"/>
  <c r="AA22" i="7"/>
  <c r="H13" i="8"/>
  <c r="H27" i="6"/>
  <c r="O20" i="6"/>
  <c r="O28" i="8" s="1"/>
  <c r="AA19" i="6"/>
  <c r="I13" i="8"/>
  <c r="I15" i="8" s="1"/>
  <c r="I27" i="6"/>
  <c r="L27" i="6"/>
  <c r="L13" i="8"/>
  <c r="L15" i="8" s="1"/>
  <c r="P23" i="8"/>
  <c r="AB13" i="7"/>
  <c r="AB23" i="8" s="1"/>
  <c r="E15" i="8"/>
  <c r="S10" i="6"/>
  <c r="BM10" i="6" s="1"/>
  <c r="BN9" i="6"/>
  <c r="BM9" i="6"/>
  <c r="BL9" i="6"/>
  <c r="AW27" i="6"/>
  <c r="M27" i="6"/>
  <c r="M13" i="8"/>
  <c r="BG13" i="8"/>
  <c r="BG27" i="6"/>
  <c r="BM14" i="6"/>
  <c r="AB29" i="8"/>
  <c r="BO17" i="7"/>
  <c r="AA19" i="7"/>
  <c r="O31" i="8"/>
  <c r="X38" i="8"/>
  <c r="AJ24" i="7"/>
  <c r="AJ38" i="8" s="1"/>
  <c r="BP27" i="7"/>
  <c r="F15" i="8"/>
  <c r="BH39" i="8"/>
  <c r="BG17" i="12"/>
  <c r="AX13" i="8"/>
  <c r="AX15" i="8" s="1"/>
  <c r="AX27" i="6"/>
  <c r="AK8" i="7"/>
  <c r="AK11" i="8" s="1"/>
  <c r="Y11" i="8"/>
  <c r="BB15" i="8"/>
  <c r="R23" i="8"/>
  <c r="BM23" i="8" s="1"/>
  <c r="AD13" i="7"/>
  <c r="AD23" i="8" s="1"/>
  <c r="P31" i="8"/>
  <c r="AB19" i="7"/>
  <c r="AB31" i="8" s="1"/>
  <c r="Y38" i="8"/>
  <c r="AK24" i="7"/>
  <c r="AK38" i="8" s="1"/>
  <c r="G15" i="8"/>
  <c r="AL8" i="7"/>
  <c r="AL11" i="8" s="1"/>
  <c r="Z11" i="8"/>
  <c r="AS25" i="8"/>
  <c r="AS41" i="8" s="1"/>
  <c r="V32" i="8"/>
  <c r="D35" i="8"/>
  <c r="D39" i="8" s="1"/>
  <c r="AR39" i="8"/>
  <c r="P12" i="8"/>
  <c r="AG12" i="7"/>
  <c r="AG22" i="8" s="1"/>
  <c r="U22" i="8"/>
  <c r="U25" i="8" s="1"/>
  <c r="U41" i="8" s="1"/>
  <c r="U37" i="8"/>
  <c r="U39" i="8" s="1"/>
  <c r="AG23" i="7"/>
  <c r="AG37" i="8" s="1"/>
  <c r="AG39" i="8" s="1"/>
  <c r="BF15" i="8"/>
  <c r="AI13" i="8"/>
  <c r="AI15" i="8" s="1"/>
  <c r="AI27" i="6"/>
  <c r="AT25" i="8"/>
  <c r="AT41" i="8" s="1"/>
  <c r="AH12" i="7"/>
  <c r="AH22" i="8" s="1"/>
  <c r="AH25" i="8" s="1"/>
  <c r="AH41" i="8" s="1"/>
  <c r="V22" i="8"/>
  <c r="V37" i="8"/>
  <c r="AH23" i="7"/>
  <c r="AH37" i="8" s="1"/>
  <c r="BG15" i="8"/>
  <c r="BI13" i="8"/>
  <c r="BI27" i="6"/>
  <c r="AU25" i="8"/>
  <c r="AU41" i="8" s="1"/>
  <c r="AJ32" i="8"/>
  <c r="F39" i="8"/>
  <c r="F41" i="8" s="1"/>
  <c r="AI12" i="7"/>
  <c r="AI22" i="8" s="1"/>
  <c r="W22" i="8"/>
  <c r="W25" i="8" s="1"/>
  <c r="W41" i="8" s="1"/>
  <c r="O30" i="8"/>
  <c r="BK18" i="7"/>
  <c r="AA18" i="7"/>
  <c r="W37" i="8"/>
  <c r="BJ13" i="8"/>
  <c r="BJ15" i="8" s="1"/>
  <c r="BJ27" i="6"/>
  <c r="AV41" i="8"/>
  <c r="AQ15" i="8"/>
  <c r="AE9" i="7"/>
  <c r="BN9" i="7" s="1"/>
  <c r="S12" i="8"/>
  <c r="X22" i="8"/>
  <c r="AJ12" i="7"/>
  <c r="AJ22" i="8" s="1"/>
  <c r="P30" i="8"/>
  <c r="AB18" i="7"/>
  <c r="AB30" i="8" s="1"/>
  <c r="X37" i="8"/>
  <c r="AJ23" i="7"/>
  <c r="AJ37" i="8" s="1"/>
  <c r="AJ25" i="8"/>
  <c r="Z37" i="8"/>
  <c r="Z39" i="8" s="1"/>
  <c r="AF14" i="6"/>
  <c r="AF15" i="6" s="1"/>
  <c r="AF21" i="8" s="1"/>
  <c r="T15" i="6"/>
  <c r="BO15" i="6" s="1"/>
  <c r="I41" i="8"/>
  <c r="BP24" i="6"/>
  <c r="BM24" i="6"/>
  <c r="AA24" i="6"/>
  <c r="AA25" i="6" s="1"/>
  <c r="AA35" i="8" s="1"/>
  <c r="O25" i="6"/>
  <c r="T12" i="8"/>
  <c r="AF9" i="7"/>
  <c r="AF12" i="8" s="1"/>
  <c r="AK12" i="7"/>
  <c r="AK22" i="8" s="1"/>
  <c r="Y22" i="8"/>
  <c r="Z36" i="8"/>
  <c r="AL22" i="7"/>
  <c r="AL36" i="8" s="1"/>
  <c r="Y37" i="8"/>
  <c r="Y39" i="8" s="1"/>
  <c r="AK23" i="7"/>
  <c r="AK37" i="8" s="1"/>
  <c r="AK39" i="8" s="1"/>
  <c r="AM27" i="6"/>
  <c r="AM13" i="8"/>
  <c r="AM15" i="8" s="1"/>
  <c r="X20" i="6"/>
  <c r="X28" i="8" s="1"/>
  <c r="X32" i="8" s="1"/>
  <c r="AB39" i="8"/>
  <c r="BC39" i="8"/>
  <c r="AG9" i="7"/>
  <c r="AG12" i="8" s="1"/>
  <c r="U12" i="8"/>
  <c r="Z22" i="8"/>
  <c r="Z25" i="8" s="1"/>
  <c r="AL12" i="7"/>
  <c r="AL22" i="8" s="1"/>
  <c r="AL25" i="8" s="1"/>
  <c r="P29" i="8"/>
  <c r="BP29" i="8" s="1"/>
  <c r="BL17" i="7"/>
  <c r="D15" i="8"/>
  <c r="AZ13" i="8"/>
  <c r="AZ27" i="6"/>
  <c r="BE25" i="8"/>
  <c r="BE41" i="8" s="1"/>
  <c r="AO39" i="8"/>
  <c r="AO41" i="8" s="1"/>
  <c r="E39" i="8"/>
  <c r="AN39" i="8"/>
  <c r="AN41" i="8" s="1"/>
  <c r="Z38" i="8"/>
  <c r="AL24" i="7"/>
  <c r="AL38" i="8" s="1"/>
  <c r="AL39" i="8" s="1"/>
  <c r="H15" i="8"/>
  <c r="BN15" i="6"/>
  <c r="BM15" i="6"/>
  <c r="C21" i="8"/>
  <c r="P20" i="6"/>
  <c r="P28" i="8" s="1"/>
  <c r="AB19" i="6"/>
  <c r="AB20" i="6" s="1"/>
  <c r="AB28" i="8" s="1"/>
  <c r="S23" i="8"/>
  <c r="BL23" i="8" s="1"/>
  <c r="AE13" i="7"/>
  <c r="AE23" i="8" s="1"/>
  <c r="AE25" i="8" s="1"/>
  <c r="AE41" i="8" s="1"/>
  <c r="AP27" i="6"/>
  <c r="AP13" i="8"/>
  <c r="AP15" i="8" s="1"/>
  <c r="AB13" i="8"/>
  <c r="O15" i="6"/>
  <c r="O21" i="8" s="1"/>
  <c r="AA14" i="6"/>
  <c r="AA15" i="6" s="1"/>
  <c r="AA21" i="8" s="1"/>
  <c r="AA25" i="8" s="1"/>
  <c r="AR25" i="8"/>
  <c r="D41" i="8"/>
  <c r="V39" i="8"/>
  <c r="BM24" i="8"/>
  <c r="BL24" i="8"/>
  <c r="AA9" i="6"/>
  <c r="AA10" i="6" s="1"/>
  <c r="BK10" i="6" s="1"/>
  <c r="BK9" i="6"/>
  <c r="E41" i="8"/>
  <c r="W39" i="8"/>
  <c r="P39" i="8"/>
  <c r="AH15" i="8"/>
  <c r="O22" i="8"/>
  <c r="BM12" i="7"/>
  <c r="AA12" i="7"/>
  <c r="AA22" i="8" s="1"/>
  <c r="X29" i="8"/>
  <c r="AJ17" i="7"/>
  <c r="AJ29" i="8" s="1"/>
  <c r="BI17" i="12"/>
  <c r="AM17" i="12"/>
  <c r="AH13" i="8"/>
  <c r="AH27" i="6"/>
  <c r="AJ24" i="6"/>
  <c r="AJ25" i="6" s="1"/>
  <c r="AJ35" i="8" s="1"/>
  <c r="AJ39" i="8" s="1"/>
  <c r="X25" i="6"/>
  <c r="X35" i="8" s="1"/>
  <c r="X39" i="8" s="1"/>
  <c r="BI15" i="8"/>
  <c r="P22" i="8"/>
  <c r="P25" i="8" s="1"/>
  <c r="AB12" i="7"/>
  <c r="AB22" i="8" s="1"/>
  <c r="AB25" i="8" s="1"/>
  <c r="Z30" i="8"/>
  <c r="Z32" i="8" s="1"/>
  <c r="AL18" i="7"/>
  <c r="AL30" i="8" s="1"/>
  <c r="AL32" i="8" s="1"/>
  <c r="AY15" i="8"/>
  <c r="G17" i="10"/>
  <c r="AF19" i="6"/>
  <c r="AF20" i="6" s="1"/>
  <c r="AF28" i="8" s="1"/>
  <c r="AF32" i="8" s="1"/>
  <c r="T20" i="6"/>
  <c r="T28" i="8" s="1"/>
  <c r="T32" i="8" s="1"/>
  <c r="J32" i="8"/>
  <c r="AZ15" i="8"/>
  <c r="BJ17" i="12"/>
  <c r="AN17" i="12"/>
  <c r="AO17" i="12"/>
  <c r="H41" i="8"/>
  <c r="AQ25" i="8"/>
  <c r="AQ41" i="8" s="1"/>
  <c r="U20" i="6"/>
  <c r="U28" i="8" s="1"/>
  <c r="U32" i="8" s="1"/>
  <c r="AG19" i="6"/>
  <c r="AG20" i="6" s="1"/>
  <c r="AG28" i="8" s="1"/>
  <c r="AG32" i="8" s="1"/>
  <c r="E45" i="8"/>
  <c r="E7" i="9"/>
  <c r="AC45" i="8"/>
  <c r="AC7" i="9"/>
  <c r="BA7" i="9"/>
  <c r="BA45" i="8"/>
  <c r="Q22" i="8"/>
  <c r="AC12" i="7"/>
  <c r="AC22" i="8" s="1"/>
  <c r="AC25" i="8" s="1"/>
  <c r="AC41" i="8" s="1"/>
  <c r="T23" i="8"/>
  <c r="AF13" i="7"/>
  <c r="AF23" i="8" s="1"/>
  <c r="H7" i="9"/>
  <c r="H45" i="8"/>
  <c r="AF45" i="8"/>
  <c r="AF7" i="9"/>
  <c r="BD7" i="9"/>
  <c r="BD45" i="8"/>
  <c r="BH15" i="8"/>
  <c r="BP15" i="9"/>
  <c r="H35" i="11" s="1"/>
  <c r="J27" i="6"/>
  <c r="R20" i="6"/>
  <c r="R28" i="8" s="1"/>
  <c r="AD19" i="6"/>
  <c r="AD20" i="6" s="1"/>
  <c r="AD28" i="8" s="1"/>
  <c r="BB17" i="12"/>
  <c r="K27" i="6"/>
  <c r="R22" i="8"/>
  <c r="R25" i="8" s="1"/>
  <c r="AD12" i="7"/>
  <c r="AD22" i="8" s="1"/>
  <c r="AD25" i="8" s="1"/>
  <c r="U23" i="8"/>
  <c r="AG13" i="7"/>
  <c r="AG23" i="8" s="1"/>
  <c r="BK23" i="8" s="1"/>
  <c r="W38" i="8"/>
  <c r="AI24" i="7"/>
  <c r="AI38" i="8" s="1"/>
  <c r="AI39" i="8" s="1"/>
  <c r="I45" i="8"/>
  <c r="I7" i="9"/>
  <c r="AG45" i="8"/>
  <c r="AG7" i="9"/>
  <c r="J41" i="8"/>
  <c r="C13" i="8"/>
  <c r="C15" i="8" s="1"/>
  <c r="BI25" i="8"/>
  <c r="BI41" i="8" s="1"/>
  <c r="BA39" i="8"/>
  <c r="BA41" i="8" s="1"/>
  <c r="Q39" i="8"/>
  <c r="V15" i="8"/>
  <c r="AW15" i="8"/>
  <c r="X12" i="8"/>
  <c r="AJ9" i="7"/>
  <c r="AJ12" i="8" s="1"/>
  <c r="AH24" i="7"/>
  <c r="AH38" i="8" s="1"/>
  <c r="AH39" i="8" s="1"/>
  <c r="K41" i="8"/>
  <c r="R27" i="6"/>
  <c r="R13" i="8"/>
  <c r="S39" i="8"/>
  <c r="Y12" i="8"/>
  <c r="AK9" i="7"/>
  <c r="AK12" i="8" s="1"/>
  <c r="S7" i="9"/>
  <c r="S45" i="8"/>
  <c r="AQ7" i="9"/>
  <c r="AQ45" i="8"/>
  <c r="J15" i="8"/>
  <c r="X25" i="8"/>
  <c r="BD25" i="8"/>
  <c r="BD41" i="8" s="1"/>
  <c r="W32" i="8"/>
  <c r="BB32" i="8"/>
  <c r="BB41" i="8" s="1"/>
  <c r="T7" i="9"/>
  <c r="T45" i="8"/>
  <c r="K15" i="8"/>
  <c r="AS7" i="9"/>
  <c r="AS45" i="8"/>
  <c r="AR7" i="9"/>
  <c r="AB8" i="7"/>
  <c r="AB11" i="8" s="1"/>
  <c r="AB15" i="8" s="1"/>
  <c r="AK14" i="7"/>
  <c r="AK24" i="8" s="1"/>
  <c r="BN24" i="8" s="1"/>
  <c r="AG17" i="7"/>
  <c r="AG29" i="8" s="1"/>
  <c r="BP47" i="8"/>
  <c r="H27" i="11" s="1"/>
  <c r="BO47" i="8"/>
  <c r="G27" i="11" s="1"/>
  <c r="BN47" i="8"/>
  <c r="F27" i="11" s="1"/>
  <c r="BL47" i="8"/>
  <c r="D27" i="11" s="1"/>
  <c r="BK47" i="8"/>
  <c r="C27" i="11" s="1"/>
  <c r="Q31" i="8"/>
  <c r="AC19" i="7"/>
  <c r="AC31" i="8" s="1"/>
  <c r="AT7" i="9"/>
  <c r="AT45" i="8"/>
  <c r="V45" i="8"/>
  <c r="BH27" i="6"/>
  <c r="R30" i="8"/>
  <c r="AD18" i="7"/>
  <c r="AD30" i="8" s="1"/>
  <c r="R31" i="8"/>
  <c r="AD19" i="7"/>
  <c r="AD31" i="8" s="1"/>
  <c r="AU7" i="9"/>
  <c r="AU45" i="8"/>
  <c r="BH32" i="8"/>
  <c r="W45" i="8"/>
  <c r="X7" i="9"/>
  <c r="X45" i="8"/>
  <c r="BH25" i="8"/>
  <c r="Z45" i="8"/>
  <c r="O11" i="8"/>
  <c r="O15" i="8" s="1"/>
  <c r="BK23" i="7"/>
  <c r="Y7" i="9"/>
  <c r="Y45" i="8"/>
  <c r="BL8" i="7"/>
  <c r="BO23" i="7"/>
  <c r="Q38" i="8"/>
  <c r="AX7" i="9"/>
  <c r="AX45" i="8"/>
  <c r="R25" i="6"/>
  <c r="R35" i="8" s="1"/>
  <c r="R39" i="8" s="1"/>
  <c r="AD24" i="6"/>
  <c r="AD25" i="6" s="1"/>
  <c r="AD35" i="8" s="1"/>
  <c r="AD39" i="8" s="1"/>
  <c r="Q15" i="8"/>
  <c r="C45" i="8"/>
  <c r="BN27" i="7"/>
  <c r="BM27" i="7"/>
  <c r="BL27" i="7"/>
  <c r="BK27" i="7"/>
  <c r="C7" i="9"/>
  <c r="C12" i="10"/>
  <c r="AA7" i="9"/>
  <c r="AA45" i="8"/>
  <c r="BP7" i="8"/>
  <c r="H8" i="11" s="1"/>
  <c r="BO7" i="8"/>
  <c r="G8" i="11" s="1"/>
  <c r="BN7" i="8"/>
  <c r="F8" i="11" s="1"/>
  <c r="BM7" i="8"/>
  <c r="E8" i="11" s="1"/>
  <c r="BL7" i="8"/>
  <c r="D8" i="11" s="1"/>
  <c r="BK7" i="8"/>
  <c r="C8" i="11" s="1"/>
  <c r="T30" i="8"/>
  <c r="C35" i="8"/>
  <c r="BB39" i="8"/>
  <c r="C14" i="8"/>
  <c r="U30" i="8"/>
  <c r="AV45" i="8"/>
  <c r="BP37" i="8"/>
  <c r="BO37" i="8"/>
  <c r="R15" i="8"/>
  <c r="N45" i="8"/>
  <c r="BN23" i="7"/>
  <c r="O37" i="8"/>
  <c r="BN37" i="8" s="1"/>
  <c r="BL23" i="7"/>
  <c r="M7" i="9"/>
  <c r="M45" i="8"/>
  <c r="AK7" i="9"/>
  <c r="AK45" i="8"/>
  <c r="O45" i="8"/>
  <c r="P45" i="8"/>
  <c r="AM7" i="9"/>
  <c r="AM45" i="8"/>
  <c r="Q45" i="8"/>
  <c r="BK15" i="9"/>
  <c r="C35" i="11" s="1"/>
  <c r="BP23" i="7"/>
  <c r="BO15" i="9"/>
  <c r="G35" i="11" s="1"/>
  <c r="BM17" i="7"/>
  <c r="AA24" i="7"/>
  <c r="AA38" i="8" s="1"/>
  <c r="O38" i="8"/>
  <c r="BM24" i="7"/>
  <c r="BN17" i="7"/>
  <c r="BM25" i="10"/>
  <c r="BN15" i="9"/>
  <c r="F35" i="11" s="1"/>
  <c r="BM15" i="9"/>
  <c r="E35" i="11" s="1"/>
  <c r="BL15" i="9"/>
  <c r="D35" i="11" s="1"/>
  <c r="AB7" i="9"/>
  <c r="F11" i="10"/>
  <c r="AT61" i="4" l="1"/>
  <c r="AT86" i="4" s="1"/>
  <c r="AT54" i="4"/>
  <c r="AT80" i="4" s="1"/>
  <c r="AT47" i="4"/>
  <c r="AT74" i="4" s="1"/>
  <c r="AT17" i="12"/>
  <c r="AH17" i="10"/>
  <c r="BH47" i="4"/>
  <c r="BH74" i="4" s="1"/>
  <c r="BH54" i="4"/>
  <c r="BH80" i="4" s="1"/>
  <c r="BH61" i="4"/>
  <c r="BH86" i="4" s="1"/>
  <c r="BH17" i="12"/>
  <c r="U17" i="10"/>
  <c r="AE17" i="10"/>
  <c r="X15" i="8"/>
  <c r="AN9" i="9"/>
  <c r="AN17" i="10"/>
  <c r="AW54" i="4"/>
  <c r="AW80" i="4" s="1"/>
  <c r="AW61" i="4"/>
  <c r="AW86" i="4" s="1"/>
  <c r="AW47" i="4"/>
  <c r="AW74" i="4" s="1"/>
  <c r="AW17" i="12"/>
  <c r="S17" i="10"/>
  <c r="AO9" i="9"/>
  <c r="AO17" i="10"/>
  <c r="AP9" i="9"/>
  <c r="W17" i="10"/>
  <c r="AS47" i="4"/>
  <c r="AS74" i="4" s="1"/>
  <c r="AS54" i="4"/>
  <c r="AS80" i="4" s="1"/>
  <c r="AS61" i="4"/>
  <c r="AS86" i="4" s="1"/>
  <c r="AS17" i="12"/>
  <c r="AR54" i="4"/>
  <c r="AR80" i="4" s="1"/>
  <c r="AR47" i="4"/>
  <c r="AR74" i="4" s="1"/>
  <c r="AR61" i="4"/>
  <c r="AR86" i="4" s="1"/>
  <c r="AR17" i="12"/>
  <c r="BA17" i="10"/>
  <c r="BA9" i="9"/>
  <c r="AU54" i="4"/>
  <c r="AU80" i="4" s="1"/>
  <c r="AU61" i="4"/>
  <c r="AU86" i="4" s="1"/>
  <c r="AU47" i="4"/>
  <c r="AU74" i="4" s="1"/>
  <c r="AU17" i="12"/>
  <c r="F9" i="9"/>
  <c r="F17" i="10"/>
  <c r="G9" i="9"/>
  <c r="BE61" i="4"/>
  <c r="BE86" i="4" s="1"/>
  <c r="BE54" i="4"/>
  <c r="BE80" i="4" s="1"/>
  <c r="BE47" i="4"/>
  <c r="BE74" i="4" s="1"/>
  <c r="BE17" i="12"/>
  <c r="BG17" i="10"/>
  <c r="BG9" i="9"/>
  <c r="AC17" i="10"/>
  <c r="AL41" i="8"/>
  <c r="R41" i="8"/>
  <c r="S9" i="9" s="1"/>
  <c r="BB17" i="10"/>
  <c r="BB9" i="9"/>
  <c r="Z41" i="8"/>
  <c r="BN31" i="8"/>
  <c r="L17" i="10"/>
  <c r="L9" i="9"/>
  <c r="AY17" i="10"/>
  <c r="AY9" i="9"/>
  <c r="AZ9" i="9"/>
  <c r="AV9" i="9"/>
  <c r="AV17" i="10"/>
  <c r="AA20" i="6"/>
  <c r="AA28" i="8" s="1"/>
  <c r="BP19" i="6"/>
  <c r="BO19" i="6"/>
  <c r="BN19" i="6"/>
  <c r="BL19" i="6"/>
  <c r="AI41" i="8"/>
  <c r="BK14" i="7"/>
  <c r="AW17" i="10"/>
  <c r="AW9" i="9"/>
  <c r="BL12" i="8"/>
  <c r="O35" i="8"/>
  <c r="O39" i="8" s="1"/>
  <c r="BP25" i="6"/>
  <c r="O32" i="8"/>
  <c r="BL14" i="7"/>
  <c r="BL20" i="6"/>
  <c r="AQ61" i="4"/>
  <c r="AQ86" i="4" s="1"/>
  <c r="AQ54" i="4"/>
  <c r="AQ80" i="4" s="1"/>
  <c r="AQ47" i="4"/>
  <c r="AQ74" i="4" s="1"/>
  <c r="C37" i="4"/>
  <c r="BP22" i="8"/>
  <c r="BO22" i="8"/>
  <c r="BN22" i="8"/>
  <c r="BM22" i="8"/>
  <c r="BL22" i="8"/>
  <c r="BK22" i="8"/>
  <c r="BK19" i="6"/>
  <c r="BO14" i="7"/>
  <c r="BM20" i="6"/>
  <c r="BP15" i="6"/>
  <c r="BN24" i="7"/>
  <c r="E9" i="9"/>
  <c r="E17" i="10"/>
  <c r="AB32" i="8"/>
  <c r="AB41" i="8" s="1"/>
  <c r="BK24" i="6"/>
  <c r="AG25" i="8"/>
  <c r="AG41" i="8" s="1"/>
  <c r="BM14" i="7"/>
  <c r="BK20" i="6"/>
  <c r="C88" i="4"/>
  <c r="M17" i="10"/>
  <c r="M9" i="9"/>
  <c r="Z13" i="8"/>
  <c r="Z27" i="6"/>
  <c r="BD61" i="4"/>
  <c r="BD86" i="4" s="1"/>
  <c r="BD47" i="4"/>
  <c r="BD74" i="4" s="1"/>
  <c r="BD54" i="4"/>
  <c r="BD80" i="4" s="1"/>
  <c r="BF47" i="4"/>
  <c r="BF74" i="4" s="1"/>
  <c r="BF54" i="4"/>
  <c r="BF80" i="4" s="1"/>
  <c r="BF61" i="4"/>
  <c r="BF86" i="4" s="1"/>
  <c r="BP9" i="6"/>
  <c r="P32" i="8"/>
  <c r="P41" i="8" s="1"/>
  <c r="BL24" i="6"/>
  <c r="AA30" i="8"/>
  <c r="BP18" i="7"/>
  <c r="BO18" i="7"/>
  <c r="AK15" i="8"/>
  <c r="BO20" i="6"/>
  <c r="C87" i="4"/>
  <c r="AX9" i="9"/>
  <c r="AL13" i="8"/>
  <c r="AL15" i="8" s="1"/>
  <c r="AL27" i="6"/>
  <c r="BN21" i="8"/>
  <c r="C25" i="8"/>
  <c r="BL21" i="8"/>
  <c r="BL18" i="7"/>
  <c r="BN14" i="7"/>
  <c r="BP20" i="6"/>
  <c r="BK37" i="8"/>
  <c r="BM31" i="8"/>
  <c r="BN29" i="8"/>
  <c r="BK29" i="8"/>
  <c r="AA13" i="8"/>
  <c r="AA15" i="8" s="1"/>
  <c r="AA27" i="6"/>
  <c r="BN24" i="6"/>
  <c r="BM18" i="7"/>
  <c r="BO9" i="7"/>
  <c r="BN14" i="6"/>
  <c r="AA36" i="8"/>
  <c r="AA39" i="8" s="1"/>
  <c r="BL22" i="7"/>
  <c r="BK22" i="7"/>
  <c r="BP14" i="7"/>
  <c r="BN28" i="8"/>
  <c r="BM28" i="8"/>
  <c r="C32" i="8"/>
  <c r="BL28" i="8"/>
  <c r="BP28" i="8"/>
  <c r="BO28" i="8"/>
  <c r="BK28" i="8"/>
  <c r="BL12" i="7"/>
  <c r="BM38" i="8"/>
  <c r="BK38" i="8"/>
  <c r="BN38" i="8"/>
  <c r="BL37" i="8"/>
  <c r="D12" i="10"/>
  <c r="C13" i="10"/>
  <c r="BM37" i="8"/>
  <c r="BL31" i="8"/>
  <c r="K17" i="10"/>
  <c r="K9" i="9"/>
  <c r="BK24" i="8"/>
  <c r="BO24" i="6"/>
  <c r="BN18" i="7"/>
  <c r="BP9" i="7"/>
  <c r="BP36" i="8"/>
  <c r="BN20" i="6"/>
  <c r="X27" i="6"/>
  <c r="X13" i="8"/>
  <c r="BO12" i="7"/>
  <c r="BP8" i="7"/>
  <c r="AF27" i="6"/>
  <c r="AJ13" i="8"/>
  <c r="AJ15" i="8" s="1"/>
  <c r="AJ27" i="6"/>
  <c r="BG47" i="4"/>
  <c r="BG74" i="4" s="1"/>
  <c r="BG61" i="4"/>
  <c r="BG86" i="4" s="1"/>
  <c r="BG54" i="4"/>
  <c r="BG80" i="4" s="1"/>
  <c r="BP12" i="7"/>
  <c r="S15" i="8"/>
  <c r="BN12" i="7"/>
  <c r="BP14" i="6"/>
  <c r="BJ17" i="10"/>
  <c r="BJ9" i="9"/>
  <c r="BC41" i="8"/>
  <c r="BA61" i="4"/>
  <c r="BA86" i="4" s="1"/>
  <c r="BA54" i="4"/>
  <c r="BA80" i="4" s="1"/>
  <c r="BA47" i="4"/>
  <c r="BA74" i="4" s="1"/>
  <c r="BK12" i="7"/>
  <c r="Y41" i="8"/>
  <c r="BM25" i="6"/>
  <c r="S13" i="8"/>
  <c r="BL13" i="8" s="1"/>
  <c r="S27" i="6"/>
  <c r="AV54" i="4"/>
  <c r="AV80" i="4" s="1"/>
  <c r="AV61" i="4"/>
  <c r="AV86" i="4" s="1"/>
  <c r="AV47" i="4"/>
  <c r="AV74" i="4" s="1"/>
  <c r="AZ54" i="4"/>
  <c r="AZ80" i="4" s="1"/>
  <c r="AZ61" i="4"/>
  <c r="AZ86" i="4" s="1"/>
  <c r="AZ47" i="4"/>
  <c r="AZ74" i="4" s="1"/>
  <c r="AK25" i="8"/>
  <c r="AK41" i="8" s="1"/>
  <c r="G11" i="10"/>
  <c r="BM45" i="8"/>
  <c r="E25" i="11" s="1"/>
  <c r="BK45" i="8"/>
  <c r="C25" i="11" s="1"/>
  <c r="BN45" i="8"/>
  <c r="F25" i="11" s="1"/>
  <c r="BL45" i="8"/>
  <c r="D25" i="11" s="1"/>
  <c r="BP45" i="8"/>
  <c r="H25" i="11" s="1"/>
  <c r="BO45" i="8"/>
  <c r="G25" i="11" s="1"/>
  <c r="BN13" i="7"/>
  <c r="Q25" i="8"/>
  <c r="Q41" i="8" s="1"/>
  <c r="AF39" i="8"/>
  <c r="AV17" i="12"/>
  <c r="AY54" i="4"/>
  <c r="AY80" i="4" s="1"/>
  <c r="AY47" i="4"/>
  <c r="AY74" i="4" s="1"/>
  <c r="AY61" i="4"/>
  <c r="AY86" i="4" s="1"/>
  <c r="BP13" i="7"/>
  <c r="P27" i="6"/>
  <c r="AX54" i="4"/>
  <c r="AX80" i="4" s="1"/>
  <c r="AX47" i="4"/>
  <c r="AX74" i="4" s="1"/>
  <c r="AX61" i="4"/>
  <c r="AX86" i="4" s="1"/>
  <c r="C75" i="4"/>
  <c r="C93" i="4" s="1"/>
  <c r="BL14" i="8"/>
  <c r="BP14" i="8"/>
  <c r="BO14" i="8"/>
  <c r="BM14" i="8"/>
  <c r="BN14" i="8"/>
  <c r="BK14" i="8"/>
  <c r="BN36" i="8"/>
  <c r="BD17" i="10"/>
  <c r="BD9" i="9"/>
  <c r="AR41" i="8"/>
  <c r="AS9" i="9" s="1"/>
  <c r="BL14" i="6"/>
  <c r="BL13" i="7"/>
  <c r="BO24" i="7"/>
  <c r="D20" i="4"/>
  <c r="E17" i="4"/>
  <c r="AZ17" i="12"/>
  <c r="C76" i="4"/>
  <c r="J9" i="9"/>
  <c r="J17" i="10"/>
  <c r="P15" i="8"/>
  <c r="BM29" i="8"/>
  <c r="BK11" i="8"/>
  <c r="I9" i="9"/>
  <c r="I17" i="10"/>
  <c r="BO24" i="8"/>
  <c r="AD32" i="8"/>
  <c r="AD41" i="8" s="1"/>
  <c r="AQ17" i="10"/>
  <c r="AQ9" i="9"/>
  <c r="BK17" i="7"/>
  <c r="R32" i="8"/>
  <c r="H9" i="9"/>
  <c r="H17" i="10"/>
  <c r="D17" i="10"/>
  <c r="BM23" i="7"/>
  <c r="BK14" i="6"/>
  <c r="BE9" i="9"/>
  <c r="BE17" i="10"/>
  <c r="BN11" i="8"/>
  <c r="AS17" i="10"/>
  <c r="BN19" i="7"/>
  <c r="BM13" i="7"/>
  <c r="BP24" i="7"/>
  <c r="V41" i="8"/>
  <c r="F25" i="4"/>
  <c r="E27" i="4"/>
  <c r="BL29" i="8"/>
  <c r="BO14" i="6"/>
  <c r="Z15" i="8"/>
  <c r="BK19" i="7"/>
  <c r="BO13" i="7"/>
  <c r="Y27" i="6"/>
  <c r="Y13" i="8"/>
  <c r="Y15" i="8" s="1"/>
  <c r="O27" i="6"/>
  <c r="BM27" i="6" s="1"/>
  <c r="BP30" i="8"/>
  <c r="BM30" i="8"/>
  <c r="BL30" i="8"/>
  <c r="BO11" i="8"/>
  <c r="AF25" i="8"/>
  <c r="BL25" i="6"/>
  <c r="BN25" i="6"/>
  <c r="BO29" i="8"/>
  <c r="BL19" i="7"/>
  <c r="AF15" i="8"/>
  <c r="AK13" i="8"/>
  <c r="AK27" i="6"/>
  <c r="AQ17" i="12"/>
  <c r="BK24" i="7"/>
  <c r="BL38" i="8"/>
  <c r="O25" i="8"/>
  <c r="BN23" i="8"/>
  <c r="BP23" i="8"/>
  <c r="BO23" i="8"/>
  <c r="T15" i="8"/>
  <c r="BM19" i="6"/>
  <c r="AG27" i="6"/>
  <c r="BK8" i="7"/>
  <c r="BM8" i="7"/>
  <c r="BK13" i="7"/>
  <c r="U13" i="8"/>
  <c r="BO13" i="8" s="1"/>
  <c r="U27" i="6"/>
  <c r="BK27" i="6" s="1"/>
  <c r="BN10" i="6"/>
  <c r="BL24" i="7"/>
  <c r="BO38" i="8"/>
  <c r="AB27" i="6"/>
  <c r="AA31" i="8"/>
  <c r="BO19" i="7"/>
  <c r="BM19" i="7"/>
  <c r="N9" i="9"/>
  <c r="E32" i="4"/>
  <c r="D34" i="4"/>
  <c r="AP61" i="4"/>
  <c r="AP86" i="4" s="1"/>
  <c r="AP47" i="4"/>
  <c r="AP74" i="4" s="1"/>
  <c r="AP54" i="4"/>
  <c r="AP80" i="4" s="1"/>
  <c r="AE12" i="8"/>
  <c r="BN12" i="8" s="1"/>
  <c r="BM9" i="7"/>
  <c r="BL9" i="7"/>
  <c r="AT17" i="10"/>
  <c r="AT9" i="9"/>
  <c r="BK9" i="7"/>
  <c r="BN8" i="7"/>
  <c r="BK25" i="6"/>
  <c r="BP11" i="8"/>
  <c r="T21" i="8"/>
  <c r="T25" i="8" s="1"/>
  <c r="T41" i="8" s="1"/>
  <c r="U9" i="9" s="1"/>
  <c r="T27" i="6"/>
  <c r="BO25" i="6"/>
  <c r="BL11" i="8"/>
  <c r="BM11" i="8"/>
  <c r="AJ41" i="8"/>
  <c r="AU9" i="9"/>
  <c r="AU17" i="10"/>
  <c r="BO8" i="7"/>
  <c r="BH41" i="8"/>
  <c r="X41" i="8"/>
  <c r="BI17" i="10"/>
  <c r="BI9" i="9"/>
  <c r="BP35" i="8"/>
  <c r="BO35" i="8"/>
  <c r="BN35" i="8"/>
  <c r="BM35" i="8"/>
  <c r="BL35" i="8"/>
  <c r="BK35" i="8"/>
  <c r="C39" i="8"/>
  <c r="BP38" i="8"/>
  <c r="BP17" i="7"/>
  <c r="BP19" i="7"/>
  <c r="C17" i="12"/>
  <c r="BK17" i="10"/>
  <c r="C51" i="11" s="1"/>
  <c r="BK15" i="6"/>
  <c r="BP10" i="6"/>
  <c r="AP17" i="12"/>
  <c r="C8" i="12" l="1"/>
  <c r="AB17" i="10"/>
  <c r="AC9" i="9"/>
  <c r="P17" i="10"/>
  <c r="BN15" i="8"/>
  <c r="F12" i="11" s="1"/>
  <c r="AD9" i="9"/>
  <c r="AD17" i="10"/>
  <c r="AE9" i="9"/>
  <c r="BO39" i="8"/>
  <c r="G19" i="11" s="1"/>
  <c r="BM39" i="8"/>
  <c r="E19" i="11" s="1"/>
  <c r="BP39" i="8"/>
  <c r="H19" i="11" s="1"/>
  <c r="BN39" i="8"/>
  <c r="F19" i="11" s="1"/>
  <c r="BL39" i="8"/>
  <c r="D19" i="11" s="1"/>
  <c r="BK39" i="8"/>
  <c r="C19" i="11" s="1"/>
  <c r="BP27" i="6"/>
  <c r="G25" i="4"/>
  <c r="F27" i="4"/>
  <c r="BO36" i="8"/>
  <c r="BM36" i="8"/>
  <c r="BK36" i="8"/>
  <c r="BN27" i="6"/>
  <c r="BK12" i="8"/>
  <c r="X17" i="10"/>
  <c r="X9" i="9"/>
  <c r="AL17" i="10"/>
  <c r="AL9" i="9"/>
  <c r="AM9" i="9"/>
  <c r="BO12" i="8"/>
  <c r="AI17" i="10"/>
  <c r="AI9" i="9"/>
  <c r="Z17" i="10"/>
  <c r="Z9" i="9"/>
  <c r="AG17" i="10"/>
  <c r="AG9" i="9"/>
  <c r="BL27" i="6"/>
  <c r="H11" i="10"/>
  <c r="E12" i="10"/>
  <c r="D13" i="10"/>
  <c r="BO30" i="8"/>
  <c r="BN30" i="8"/>
  <c r="BK30" i="8"/>
  <c r="AA32" i="8"/>
  <c r="AA41" i="8" s="1"/>
  <c r="BH17" i="10"/>
  <c r="BH9" i="9"/>
  <c r="BM15" i="8"/>
  <c r="E12" i="11" s="1"/>
  <c r="Q17" i="10"/>
  <c r="Q9" i="9"/>
  <c r="BO15" i="8"/>
  <c r="G12" i="11" s="1"/>
  <c r="V17" i="10"/>
  <c r="V9" i="9"/>
  <c r="BO31" i="8"/>
  <c r="BP31" i="8"/>
  <c r="BP13" i="8"/>
  <c r="BP15" i="8"/>
  <c r="H12" i="11" s="1"/>
  <c r="AH9" i="9"/>
  <c r="BN25" i="8"/>
  <c r="F17" i="11" s="1"/>
  <c r="C41" i="8"/>
  <c r="BM25" i="8"/>
  <c r="E17" i="11" s="1"/>
  <c r="BL25" i="8"/>
  <c r="D17" i="11" s="1"/>
  <c r="BK25" i="8"/>
  <c r="C17" i="11" s="1"/>
  <c r="BP25" i="8"/>
  <c r="H17" i="11" s="1"/>
  <c r="BO25" i="8"/>
  <c r="G17" i="11" s="1"/>
  <c r="AE15" i="8"/>
  <c r="BP12" i="8"/>
  <c r="AF41" i="8"/>
  <c r="O41" i="8"/>
  <c r="P9" i="9" s="1"/>
  <c r="BK13" i="8"/>
  <c r="BM12" i="8"/>
  <c r="C54" i="4"/>
  <c r="C61" i="4"/>
  <c r="C47" i="4"/>
  <c r="BO27" i="6"/>
  <c r="BK15" i="8"/>
  <c r="C12" i="11" s="1"/>
  <c r="W9" i="9"/>
  <c r="Y17" i="10"/>
  <c r="Y9" i="9"/>
  <c r="BC17" i="10"/>
  <c r="BC9" i="9"/>
  <c r="AJ17" i="10"/>
  <c r="AJ9" i="9"/>
  <c r="T17" i="10"/>
  <c r="T9" i="9"/>
  <c r="E20" i="4"/>
  <c r="F17" i="4"/>
  <c r="BM21" i="8"/>
  <c r="BL15" i="8"/>
  <c r="D12" i="11" s="1"/>
  <c r="U15" i="8"/>
  <c r="R17" i="10"/>
  <c r="R9" i="9"/>
  <c r="AK17" i="10"/>
  <c r="AK9" i="9"/>
  <c r="BL36" i="8"/>
  <c r="BM13" i="8"/>
  <c r="BO21" i="8"/>
  <c r="BK31" i="8"/>
  <c r="BN13" i="8"/>
  <c r="D37" i="4"/>
  <c r="BP21" i="8"/>
  <c r="AR17" i="10"/>
  <c r="AR9" i="9"/>
  <c r="F32" i="4"/>
  <c r="E34" i="4"/>
  <c r="BL32" i="8"/>
  <c r="D18" i="11" s="1"/>
  <c r="BK32" i="8"/>
  <c r="C18" i="11" s="1"/>
  <c r="BK21" i="8"/>
  <c r="AA17" i="10" l="1"/>
  <c r="AA9" i="9"/>
  <c r="F20" i="4"/>
  <c r="G17" i="4"/>
  <c r="D54" i="4"/>
  <c r="D80" i="4" s="1"/>
  <c r="D47" i="4"/>
  <c r="D74" i="4" s="1"/>
  <c r="D61" i="4"/>
  <c r="D86" i="4" s="1"/>
  <c r="D17" i="12"/>
  <c r="F12" i="10"/>
  <c r="E13" i="10"/>
  <c r="H25" i="4"/>
  <c r="G27" i="4"/>
  <c r="G32" i="4"/>
  <c r="F34" i="4"/>
  <c r="C80" i="4"/>
  <c r="C83" i="4" s="1"/>
  <c r="D79" i="4" s="1"/>
  <c r="C56" i="4"/>
  <c r="D53" i="4" s="1"/>
  <c r="AB9" i="9"/>
  <c r="E37" i="4"/>
  <c r="C74" i="4"/>
  <c r="C77" i="4" s="1"/>
  <c r="C49" i="4"/>
  <c r="BL17" i="10"/>
  <c r="D51" i="11" s="1"/>
  <c r="C86" i="4"/>
  <c r="C89" i="4" s="1"/>
  <c r="D85" i="4" s="1"/>
  <c r="C63" i="4"/>
  <c r="D60" i="4" s="1"/>
  <c r="BM32" i="8"/>
  <c r="E18" i="11" s="1"/>
  <c r="BN32" i="8"/>
  <c r="F18" i="11" s="1"/>
  <c r="O17" i="10"/>
  <c r="O9" i="9"/>
  <c r="BM17" i="10"/>
  <c r="E51" i="11" s="1"/>
  <c r="BO32" i="8"/>
  <c r="G18" i="11" s="1"/>
  <c r="BP32" i="8"/>
  <c r="H18" i="11" s="1"/>
  <c r="AF9" i="9"/>
  <c r="AF17" i="10"/>
  <c r="I11" i="10"/>
  <c r="BK41" i="8"/>
  <c r="C20" i="11" s="1"/>
  <c r="C9" i="9"/>
  <c r="BL41" i="8"/>
  <c r="D20" i="11" s="1"/>
  <c r="C17" i="10"/>
  <c r="BP41" i="8"/>
  <c r="H20" i="11" s="1"/>
  <c r="BO41" i="8"/>
  <c r="G20" i="11" s="1"/>
  <c r="BN41" i="8"/>
  <c r="F20" i="11" s="1"/>
  <c r="BM41" i="8"/>
  <c r="E20" i="11" s="1"/>
  <c r="D9" i="9"/>
  <c r="G12" i="10" l="1"/>
  <c r="F13" i="10"/>
  <c r="D55" i="4"/>
  <c r="E47" i="4"/>
  <c r="E61" i="4"/>
  <c r="E54" i="4"/>
  <c r="E17" i="12"/>
  <c r="D87" i="4"/>
  <c r="G20" i="4"/>
  <c r="H17" i="4"/>
  <c r="D81" i="4"/>
  <c r="F37" i="4"/>
  <c r="C91" i="4"/>
  <c r="D73" i="4"/>
  <c r="H27" i="4"/>
  <c r="I25" i="4"/>
  <c r="J11" i="10"/>
  <c r="H32" i="4"/>
  <c r="G34" i="4"/>
  <c r="D62" i="4"/>
  <c r="C66" i="4"/>
  <c r="C7" i="12" s="1"/>
  <c r="D46" i="4"/>
  <c r="E80" i="4" l="1"/>
  <c r="D82" i="4"/>
  <c r="D83" i="4" s="1"/>
  <c r="E79" i="4" s="1"/>
  <c r="J25" i="4"/>
  <c r="I27" i="4"/>
  <c r="E86" i="4"/>
  <c r="E74" i="4"/>
  <c r="D75" i="4"/>
  <c r="C5" i="12"/>
  <c r="C15" i="12" s="1"/>
  <c r="C97" i="4"/>
  <c r="C96" i="4"/>
  <c r="C92" i="4"/>
  <c r="C6" i="12" s="1"/>
  <c r="D56" i="4"/>
  <c r="E53" i="4" s="1"/>
  <c r="D49" i="4"/>
  <c r="D48" i="4"/>
  <c r="D88" i="4"/>
  <c r="D89" i="4" s="1"/>
  <c r="E85" i="4" s="1"/>
  <c r="H12" i="10"/>
  <c r="G13" i="10"/>
  <c r="F47" i="4"/>
  <c r="F74" i="4" s="1"/>
  <c r="F61" i="4"/>
  <c r="F86" i="4" s="1"/>
  <c r="F54" i="4"/>
  <c r="F80" i="4" s="1"/>
  <c r="F17" i="12"/>
  <c r="D63" i="4"/>
  <c r="E60" i="4" s="1"/>
  <c r="H20" i="4"/>
  <c r="I17" i="4"/>
  <c r="G37" i="4"/>
  <c r="H34" i="4"/>
  <c r="I32" i="4"/>
  <c r="K11" i="10"/>
  <c r="D76" i="4" l="1"/>
  <c r="D93" i="4" s="1"/>
  <c r="I20" i="4"/>
  <c r="J17" i="4"/>
  <c r="H37" i="4"/>
  <c r="E62" i="4"/>
  <c r="E63" i="4" s="1"/>
  <c r="F60" i="4" s="1"/>
  <c r="E81" i="4"/>
  <c r="C7" i="10"/>
  <c r="C8" i="9"/>
  <c r="E56" i="4"/>
  <c r="F53" i="4" s="1"/>
  <c r="E55" i="4"/>
  <c r="G47" i="4"/>
  <c r="G54" i="4"/>
  <c r="G80" i="4" s="1"/>
  <c r="G61" i="4"/>
  <c r="G86" i="4" s="1"/>
  <c r="G17" i="12"/>
  <c r="C99" i="4"/>
  <c r="L11" i="10"/>
  <c r="D66" i="4"/>
  <c r="D7" i="12" s="1"/>
  <c r="E46" i="4"/>
  <c r="K25" i="4"/>
  <c r="J27" i="4"/>
  <c r="I12" i="10"/>
  <c r="H13" i="10"/>
  <c r="I34" i="4"/>
  <c r="J32" i="4"/>
  <c r="E87" i="4"/>
  <c r="F62" i="4" l="1"/>
  <c r="F88" i="4" s="1"/>
  <c r="H47" i="4"/>
  <c r="H74" i="4" s="1"/>
  <c r="H54" i="4"/>
  <c r="H61" i="4"/>
  <c r="H17" i="12"/>
  <c r="J20" i="4"/>
  <c r="K17" i="4"/>
  <c r="E82" i="4"/>
  <c r="E83" i="4" s="1"/>
  <c r="F79" i="4" s="1"/>
  <c r="J34" i="4"/>
  <c r="K32" i="4"/>
  <c r="I37" i="4"/>
  <c r="J12" i="10"/>
  <c r="I13" i="10"/>
  <c r="F55" i="4"/>
  <c r="F82" i="4" s="1"/>
  <c r="M11" i="10"/>
  <c r="C100" i="4"/>
  <c r="C102" i="4" s="1"/>
  <c r="C101" i="4"/>
  <c r="G74" i="4"/>
  <c r="D8" i="12"/>
  <c r="L25" i="4"/>
  <c r="K27" i="4"/>
  <c r="E48" i="4"/>
  <c r="D77" i="4"/>
  <c r="E88" i="4"/>
  <c r="E89" i="4" s="1"/>
  <c r="F85" i="4" s="1"/>
  <c r="L27" i="4" l="1"/>
  <c r="M25" i="4"/>
  <c r="N11" i="10"/>
  <c r="F56" i="4"/>
  <c r="G53" i="4" s="1"/>
  <c r="F83" i="4"/>
  <c r="G79" i="4" s="1"/>
  <c r="F81" i="4"/>
  <c r="K20" i="4"/>
  <c r="L17" i="4"/>
  <c r="J37" i="4"/>
  <c r="K12" i="10"/>
  <c r="J13" i="10"/>
  <c r="I61" i="4"/>
  <c r="I47" i="4"/>
  <c r="I54" i="4"/>
  <c r="I80" i="4" s="1"/>
  <c r="I17" i="12"/>
  <c r="H86" i="4"/>
  <c r="F87" i="4"/>
  <c r="F89" i="4" s="1"/>
  <c r="G85" i="4" s="1"/>
  <c r="H80" i="4"/>
  <c r="D91" i="4"/>
  <c r="E73" i="4"/>
  <c r="E76" i="4"/>
  <c r="C10" i="9"/>
  <c r="C18" i="10"/>
  <c r="C19" i="10" s="1"/>
  <c r="C22" i="10" s="1"/>
  <c r="D98" i="4"/>
  <c r="E49" i="4"/>
  <c r="C6" i="8"/>
  <c r="C105" i="4"/>
  <c r="K34" i="4"/>
  <c r="L32" i="4"/>
  <c r="F63" i="4"/>
  <c r="G60" i="4" s="1"/>
  <c r="G87" i="4" l="1"/>
  <c r="J47" i="4"/>
  <c r="J74" i="4" s="1"/>
  <c r="J54" i="4"/>
  <c r="J61" i="4"/>
  <c r="J17" i="12"/>
  <c r="L20" i="4"/>
  <c r="L37" i="4" s="1"/>
  <c r="M17" i="4"/>
  <c r="K37" i="4"/>
  <c r="G81" i="4"/>
  <c r="G55" i="4"/>
  <c r="G56" i="4" s="1"/>
  <c r="H53" i="4" s="1"/>
  <c r="C8" i="8"/>
  <c r="BK11" i="10"/>
  <c r="O11" i="10"/>
  <c r="E66" i="4"/>
  <c r="E7" i="12" s="1"/>
  <c r="F46" i="4"/>
  <c r="E77" i="4"/>
  <c r="E75" i="4"/>
  <c r="E93" i="4"/>
  <c r="G62" i="4"/>
  <c r="G63" i="4" s="1"/>
  <c r="H60" i="4" s="1"/>
  <c r="I86" i="4"/>
  <c r="L12" i="10"/>
  <c r="K13" i="10"/>
  <c r="D5" i="12"/>
  <c r="D15" i="12" s="1"/>
  <c r="D92" i="4"/>
  <c r="D6" i="12" s="1"/>
  <c r="D97" i="4"/>
  <c r="D96" i="4"/>
  <c r="L34" i="4"/>
  <c r="M32" i="4"/>
  <c r="N25" i="4"/>
  <c r="M27" i="4"/>
  <c r="I74" i="4"/>
  <c r="H62" i="4" l="1"/>
  <c r="H88" i="4" s="1"/>
  <c r="H55" i="4"/>
  <c r="H82" i="4" s="1"/>
  <c r="K47" i="4"/>
  <c r="K54" i="4"/>
  <c r="K80" i="4" s="1"/>
  <c r="K61" i="4"/>
  <c r="K86" i="4" s="1"/>
  <c r="K17" i="12"/>
  <c r="E8" i="12"/>
  <c r="E91" i="4"/>
  <c r="F73" i="4"/>
  <c r="O25" i="4"/>
  <c r="N27" i="4"/>
  <c r="M20" i="4"/>
  <c r="N17" i="4"/>
  <c r="L54" i="4"/>
  <c r="L80" i="4" s="1"/>
  <c r="L47" i="4"/>
  <c r="L74" i="4" s="1"/>
  <c r="L61" i="4"/>
  <c r="L86" i="4" s="1"/>
  <c r="L17" i="12"/>
  <c r="F49" i="4"/>
  <c r="F48" i="4"/>
  <c r="M12" i="10"/>
  <c r="L13" i="10"/>
  <c r="C16" i="8"/>
  <c r="M34" i="4"/>
  <c r="N32" i="4"/>
  <c r="J86" i="4"/>
  <c r="G88" i="4"/>
  <c r="G89" i="4" s="1"/>
  <c r="H85" i="4" s="1"/>
  <c r="J80" i="4"/>
  <c r="P11" i="10"/>
  <c r="D7" i="10"/>
  <c r="D8" i="9"/>
  <c r="G82" i="4"/>
  <c r="G83" i="4" s="1"/>
  <c r="H79" i="4" s="1"/>
  <c r="D99" i="4"/>
  <c r="H87" i="4" l="1"/>
  <c r="H89" i="4"/>
  <c r="I85" i="4" s="1"/>
  <c r="F75" i="4"/>
  <c r="F77" i="4" s="1"/>
  <c r="E5" i="12"/>
  <c r="E15" i="12" s="1"/>
  <c r="E97" i="4"/>
  <c r="E96" i="4"/>
  <c r="E92" i="4"/>
  <c r="E6" i="12" s="1"/>
  <c r="D100" i="4"/>
  <c r="D102" i="4" s="1"/>
  <c r="Q11" i="10"/>
  <c r="F76" i="4"/>
  <c r="F93" i="4" s="1"/>
  <c r="P25" i="4"/>
  <c r="O27" i="4"/>
  <c r="F66" i="4"/>
  <c r="F7" i="12" s="1"/>
  <c r="G46" i="4"/>
  <c r="K74" i="4"/>
  <c r="C17" i="8"/>
  <c r="C42" i="8"/>
  <c r="H81" i="4"/>
  <c r="H83" i="4" s="1"/>
  <c r="I79" i="4" s="1"/>
  <c r="N34" i="4"/>
  <c r="O32" i="4"/>
  <c r="O17" i="4"/>
  <c r="N20" i="4"/>
  <c r="N37" i="4" s="1"/>
  <c r="H56" i="4"/>
  <c r="I53" i="4" s="1"/>
  <c r="N12" i="10"/>
  <c r="M13" i="10"/>
  <c r="M37" i="4"/>
  <c r="H63" i="4"/>
  <c r="I60" i="4" s="1"/>
  <c r="I81" i="4" l="1"/>
  <c r="F8" i="12"/>
  <c r="G73" i="4"/>
  <c r="F91" i="4"/>
  <c r="C43" i="8"/>
  <c r="C46" i="8"/>
  <c r="D6" i="8"/>
  <c r="D105" i="4"/>
  <c r="N54" i="4"/>
  <c r="N80" i="4" s="1"/>
  <c r="N61" i="4"/>
  <c r="N86" i="4" s="1"/>
  <c r="N47" i="4"/>
  <c r="N74" i="4" s="1"/>
  <c r="N17" i="12"/>
  <c r="I62" i="4"/>
  <c r="D101" i="4"/>
  <c r="E7" i="10"/>
  <c r="E8" i="9"/>
  <c r="P17" i="4"/>
  <c r="O20" i="4"/>
  <c r="O37" i="4" s="1"/>
  <c r="O12" i="10"/>
  <c r="BK12" i="10"/>
  <c r="N13" i="10"/>
  <c r="BK13" i="10" s="1"/>
  <c r="C47" i="11" s="1"/>
  <c r="I55" i="4"/>
  <c r="I56" i="4"/>
  <c r="J53" i="4" s="1"/>
  <c r="M54" i="4"/>
  <c r="M80" i="4" s="1"/>
  <c r="M61" i="4"/>
  <c r="M86" i="4" s="1"/>
  <c r="M47" i="4"/>
  <c r="M74" i="4" s="1"/>
  <c r="M17" i="12"/>
  <c r="G48" i="4"/>
  <c r="G49" i="4" s="1"/>
  <c r="E99" i="4"/>
  <c r="P27" i="4"/>
  <c r="Q25" i="4"/>
  <c r="O34" i="4"/>
  <c r="P32" i="4"/>
  <c r="I87" i="4"/>
  <c r="R11" i="10"/>
  <c r="C9" i="12"/>
  <c r="G66" i="4" l="1"/>
  <c r="G7" i="12" s="1"/>
  <c r="H46" i="4"/>
  <c r="P12" i="10"/>
  <c r="O13" i="10"/>
  <c r="O61" i="4"/>
  <c r="O86" i="4" s="1"/>
  <c r="O54" i="4"/>
  <c r="O80" i="4" s="1"/>
  <c r="O47" i="4"/>
  <c r="O74" i="4" s="1"/>
  <c r="O17" i="12"/>
  <c r="Q17" i="4"/>
  <c r="P20" i="4"/>
  <c r="D8" i="8"/>
  <c r="C48" i="8"/>
  <c r="C10" i="12"/>
  <c r="F5" i="12"/>
  <c r="F15" i="12" s="1"/>
  <c r="F97" i="4"/>
  <c r="F96" i="4"/>
  <c r="F92" i="4"/>
  <c r="D18" i="10"/>
  <c r="D19" i="10" s="1"/>
  <c r="D22" i="10" s="1"/>
  <c r="D10" i="9"/>
  <c r="E98" i="4"/>
  <c r="G75" i="4"/>
  <c r="G77" i="4" s="1"/>
  <c r="C16" i="12"/>
  <c r="C19" i="12"/>
  <c r="I88" i="4"/>
  <c r="I89" i="4" s="1"/>
  <c r="J85" i="4" s="1"/>
  <c r="I63" i="4"/>
  <c r="J60" i="4" s="1"/>
  <c r="P34" i="4"/>
  <c r="Q32" i="4"/>
  <c r="G76" i="4"/>
  <c r="R25" i="4"/>
  <c r="Q27" i="4"/>
  <c r="J55" i="4"/>
  <c r="J82" i="4" s="1"/>
  <c r="S11" i="10"/>
  <c r="I82" i="4"/>
  <c r="I83" i="4" s="1"/>
  <c r="J79" i="4" s="1"/>
  <c r="G91" i="4" l="1"/>
  <c r="H73" i="4"/>
  <c r="J81" i="4"/>
  <c r="J83" i="4" s="1"/>
  <c r="K79" i="4" s="1"/>
  <c r="R32" i="4"/>
  <c r="Q34" i="4"/>
  <c r="F20" i="12"/>
  <c r="F6" i="12"/>
  <c r="D16" i="8"/>
  <c r="F7" i="10"/>
  <c r="F8" i="9"/>
  <c r="P37" i="4"/>
  <c r="T11" i="10"/>
  <c r="J62" i="4"/>
  <c r="J88" i="4" s="1"/>
  <c r="F99" i="4"/>
  <c r="R17" i="4"/>
  <c r="Q20" i="4"/>
  <c r="Q37" i="4" s="1"/>
  <c r="G93" i="4"/>
  <c r="C21" i="12"/>
  <c r="J56" i="4"/>
  <c r="K53" i="4" s="1"/>
  <c r="C18" i="12"/>
  <c r="J87" i="4"/>
  <c r="J89" i="4"/>
  <c r="K85" i="4" s="1"/>
  <c r="Q12" i="10"/>
  <c r="P13" i="10"/>
  <c r="E100" i="4"/>
  <c r="E102" i="4" s="1"/>
  <c r="E101" i="4"/>
  <c r="S25" i="4"/>
  <c r="R27" i="4"/>
  <c r="H48" i="4"/>
  <c r="H76" i="4" s="1"/>
  <c r="C49" i="8"/>
  <c r="K81" i="4" l="1"/>
  <c r="K83" i="4" s="1"/>
  <c r="L79" i="4" s="1"/>
  <c r="K55" i="4"/>
  <c r="K82" i="4" s="1"/>
  <c r="Q61" i="4"/>
  <c r="Q86" i="4" s="1"/>
  <c r="Q54" i="4"/>
  <c r="Q80" i="4" s="1"/>
  <c r="Q47" i="4"/>
  <c r="Q74" i="4" s="1"/>
  <c r="Q17" i="12"/>
  <c r="D17" i="8"/>
  <c r="D42" i="8"/>
  <c r="H49" i="4"/>
  <c r="T25" i="4"/>
  <c r="S27" i="4"/>
  <c r="J63" i="4"/>
  <c r="K60" i="4" s="1"/>
  <c r="R34" i="4"/>
  <c r="S32" i="4"/>
  <c r="K87" i="4"/>
  <c r="G8" i="12"/>
  <c r="C50" i="8"/>
  <c r="U11" i="10"/>
  <c r="S17" i="4"/>
  <c r="R20" i="4"/>
  <c r="H75" i="4"/>
  <c r="H77" i="4" s="1"/>
  <c r="H93" i="4"/>
  <c r="H8" i="12" s="1"/>
  <c r="E18" i="10"/>
  <c r="E19" i="10" s="1"/>
  <c r="E22" i="10" s="1"/>
  <c r="E10" i="9"/>
  <c r="F98" i="4"/>
  <c r="E6" i="8"/>
  <c r="E105" i="4"/>
  <c r="R12" i="10"/>
  <c r="Q13" i="10"/>
  <c r="P61" i="4"/>
  <c r="P86" i="4" s="1"/>
  <c r="P54" i="4"/>
  <c r="P80" i="4" s="1"/>
  <c r="P47" i="4"/>
  <c r="P74" i="4" s="1"/>
  <c r="P17" i="12"/>
  <c r="G5" i="12"/>
  <c r="G15" i="12" s="1"/>
  <c r="G96" i="4"/>
  <c r="G97" i="4"/>
  <c r="G92" i="4"/>
  <c r="I73" i="4" l="1"/>
  <c r="H91" i="4"/>
  <c r="L81" i="4"/>
  <c r="I46" i="4"/>
  <c r="H66" i="4"/>
  <c r="H7" i="12" s="1"/>
  <c r="D46" i="8"/>
  <c r="D43" i="8"/>
  <c r="D9" i="12"/>
  <c r="S34" i="4"/>
  <c r="T32" i="4"/>
  <c r="G20" i="12"/>
  <c r="G6" i="12"/>
  <c r="R37" i="4"/>
  <c r="G99" i="4"/>
  <c r="T17" i="4"/>
  <c r="S20" i="4"/>
  <c r="G8" i="9"/>
  <c r="G7" i="10"/>
  <c r="V11" i="10"/>
  <c r="C26" i="10"/>
  <c r="C51" i="8"/>
  <c r="C6" i="9"/>
  <c r="C11" i="9" s="1"/>
  <c r="K56" i="4"/>
  <c r="L53" i="4" s="1"/>
  <c r="F100" i="4"/>
  <c r="F102" i="4" s="1"/>
  <c r="F101" i="4"/>
  <c r="S12" i="10"/>
  <c r="R13" i="10"/>
  <c r="K62" i="4"/>
  <c r="K88" i="4" s="1"/>
  <c r="K89" i="4" s="1"/>
  <c r="L85" i="4" s="1"/>
  <c r="E8" i="8"/>
  <c r="T27" i="4"/>
  <c r="U25" i="4"/>
  <c r="L87" i="4" l="1"/>
  <c r="F18" i="10"/>
  <c r="F19" i="10" s="1"/>
  <c r="F22" i="10" s="1"/>
  <c r="F10" i="9"/>
  <c r="G98" i="4"/>
  <c r="C25" i="9"/>
  <c r="C18" i="9"/>
  <c r="D19" i="12"/>
  <c r="D16" i="12"/>
  <c r="E16" i="8"/>
  <c r="T12" i="10"/>
  <c r="S13" i="10"/>
  <c r="F6" i="8"/>
  <c r="F105" i="4"/>
  <c r="U27" i="4"/>
  <c r="V25" i="4"/>
  <c r="D10" i="12"/>
  <c r="D48" i="8"/>
  <c r="I48" i="4"/>
  <c r="I76" i="4" s="1"/>
  <c r="C27" i="10"/>
  <c r="C28" i="10" s="1"/>
  <c r="L55" i="4"/>
  <c r="L82" i="4" s="1"/>
  <c r="L83" i="4" s="1"/>
  <c r="M79" i="4" s="1"/>
  <c r="S37" i="4"/>
  <c r="K63" i="4"/>
  <c r="L60" i="4" s="1"/>
  <c r="U17" i="4"/>
  <c r="T20" i="4"/>
  <c r="T37" i="4" s="1"/>
  <c r="R54" i="4"/>
  <c r="R80" i="4" s="1"/>
  <c r="R47" i="4"/>
  <c r="R74" i="4" s="1"/>
  <c r="R61" i="4"/>
  <c r="R86" i="4" s="1"/>
  <c r="R17" i="12"/>
  <c r="H5" i="12"/>
  <c r="H15" i="12" s="1"/>
  <c r="H96" i="4"/>
  <c r="H97" i="4"/>
  <c r="H99" i="4" s="1"/>
  <c r="H92" i="4"/>
  <c r="I75" i="4"/>
  <c r="I77" i="4" s="1"/>
  <c r="I93" i="4"/>
  <c r="I8" i="12" s="1"/>
  <c r="W11" i="10"/>
  <c r="U32" i="4"/>
  <c r="T34" i="4"/>
  <c r="M81" i="4" l="1"/>
  <c r="I91" i="4"/>
  <c r="J73" i="4"/>
  <c r="E42" i="8"/>
  <c r="E17" i="8"/>
  <c r="V32" i="4"/>
  <c r="U34" i="4"/>
  <c r="L62" i="4"/>
  <c r="L88" i="4" s="1"/>
  <c r="L89" i="4" s="1"/>
  <c r="M85" i="4" s="1"/>
  <c r="D18" i="12"/>
  <c r="S54" i="4"/>
  <c r="S80" i="4" s="1"/>
  <c r="S61" i="4"/>
  <c r="S86" i="4" s="1"/>
  <c r="S47" i="4"/>
  <c r="S74" i="4" s="1"/>
  <c r="S17" i="12"/>
  <c r="C19" i="9"/>
  <c r="C20" i="9"/>
  <c r="T54" i="4"/>
  <c r="T80" i="4" s="1"/>
  <c r="T47" i="4"/>
  <c r="T74" i="4" s="1"/>
  <c r="T61" i="4"/>
  <c r="T86" i="4" s="1"/>
  <c r="T17" i="12"/>
  <c r="L56" i="4"/>
  <c r="M53" i="4" s="1"/>
  <c r="I49" i="4"/>
  <c r="C27" i="9"/>
  <c r="X11" i="10"/>
  <c r="U12" i="10"/>
  <c r="T13" i="10"/>
  <c r="G100" i="4"/>
  <c r="G102" i="4" s="1"/>
  <c r="V17" i="4"/>
  <c r="U20" i="4"/>
  <c r="U37" i="4" s="1"/>
  <c r="D21" i="12"/>
  <c r="V27" i="4"/>
  <c r="W25" i="4"/>
  <c r="H20" i="12"/>
  <c r="H6" i="12"/>
  <c r="F8" i="8"/>
  <c r="H8" i="9"/>
  <c r="H7" i="10"/>
  <c r="D49" i="8"/>
  <c r="M87" i="4" l="1"/>
  <c r="V12" i="10"/>
  <c r="U13" i="10"/>
  <c r="L63" i="4"/>
  <c r="M60" i="4" s="1"/>
  <c r="G105" i="4"/>
  <c r="G6" i="8"/>
  <c r="G101" i="4"/>
  <c r="Y11" i="10"/>
  <c r="C11" i="12"/>
  <c r="C28" i="9"/>
  <c r="C12" i="12" s="1"/>
  <c r="W32" i="4"/>
  <c r="V34" i="4"/>
  <c r="M55" i="4"/>
  <c r="M82" i="4" s="1"/>
  <c r="M83" i="4" s="1"/>
  <c r="N79" i="4" s="1"/>
  <c r="M56" i="4"/>
  <c r="N53" i="4" s="1"/>
  <c r="D50" i="8"/>
  <c r="W17" i="4"/>
  <c r="V20" i="4"/>
  <c r="V37" i="4" s="1"/>
  <c r="I66" i="4"/>
  <c r="I7" i="12" s="1"/>
  <c r="J46" i="4"/>
  <c r="U47" i="4"/>
  <c r="U74" i="4" s="1"/>
  <c r="U61" i="4"/>
  <c r="U86" i="4" s="1"/>
  <c r="U54" i="4"/>
  <c r="U80" i="4" s="1"/>
  <c r="U17" i="12"/>
  <c r="D26" i="9"/>
  <c r="C6" i="10"/>
  <c r="C9" i="10" s="1"/>
  <c r="C14" i="10" s="1"/>
  <c r="C29" i="10" s="1"/>
  <c r="F16" i="8"/>
  <c r="W27" i="4"/>
  <c r="X25" i="4"/>
  <c r="E9" i="12"/>
  <c r="E46" i="8"/>
  <c r="E43" i="8"/>
  <c r="J75" i="4"/>
  <c r="I5" i="12"/>
  <c r="I15" i="12" s="1"/>
  <c r="I92" i="4"/>
  <c r="I96" i="4"/>
  <c r="I97" i="4"/>
  <c r="I99" i="4" s="1"/>
  <c r="N81" i="4" l="1"/>
  <c r="N83" i="4" s="1"/>
  <c r="Z11" i="10"/>
  <c r="D6" i="9"/>
  <c r="D11" i="9" s="1"/>
  <c r="D51" i="8"/>
  <c r="D26" i="10"/>
  <c r="G8" i="8"/>
  <c r="M62" i="4"/>
  <c r="M88" i="4" s="1"/>
  <c r="M89" i="4" s="1"/>
  <c r="N85" i="4" s="1"/>
  <c r="E19" i="12"/>
  <c r="E16" i="12"/>
  <c r="W12" i="10"/>
  <c r="V13" i="10"/>
  <c r="X32" i="4"/>
  <c r="W34" i="4"/>
  <c r="X27" i="4"/>
  <c r="Y25" i="4"/>
  <c r="G18" i="10"/>
  <c r="G19" i="10" s="1"/>
  <c r="G22" i="10" s="1"/>
  <c r="G10" i="9"/>
  <c r="H98" i="4"/>
  <c r="N55" i="4"/>
  <c r="N82" i="4" s="1"/>
  <c r="N56" i="4"/>
  <c r="E10" i="12"/>
  <c r="E48" i="8"/>
  <c r="J49" i="4"/>
  <c r="J48" i="4"/>
  <c r="J76" i="4" s="1"/>
  <c r="J77" i="4" s="1"/>
  <c r="I8" i="9"/>
  <c r="I7" i="10"/>
  <c r="I20" i="12"/>
  <c r="I6" i="12"/>
  <c r="V61" i="4"/>
  <c r="V86" i="4" s="1"/>
  <c r="V47" i="4"/>
  <c r="V74" i="4" s="1"/>
  <c r="V54" i="4"/>
  <c r="V80" i="4" s="1"/>
  <c r="V17" i="12"/>
  <c r="F17" i="8"/>
  <c r="F42" i="8"/>
  <c r="X17" i="4"/>
  <c r="W20" i="4"/>
  <c r="J91" i="4" l="1"/>
  <c r="K73" i="4"/>
  <c r="BK83" i="4"/>
  <c r="O79" i="4"/>
  <c r="G16" i="8"/>
  <c r="X12" i="10"/>
  <c r="W13" i="10"/>
  <c r="D27" i="10"/>
  <c r="D28" i="10" s="1"/>
  <c r="E21" i="12"/>
  <c r="F46" i="8"/>
  <c r="F43" i="8"/>
  <c r="E18" i="12"/>
  <c r="X20" i="4"/>
  <c r="X37" i="4" s="1"/>
  <c r="Y17" i="4"/>
  <c r="H100" i="4"/>
  <c r="H102" i="4" s="1"/>
  <c r="H101" i="4"/>
  <c r="D25" i="9"/>
  <c r="D18" i="9"/>
  <c r="F9" i="12"/>
  <c r="BK56" i="4"/>
  <c r="O53" i="4"/>
  <c r="N87" i="4"/>
  <c r="BL11" i="10"/>
  <c r="AA11" i="10"/>
  <c r="J66" i="4"/>
  <c r="J7" i="12" s="1"/>
  <c r="K46" i="4"/>
  <c r="W37" i="4"/>
  <c r="X34" i="4"/>
  <c r="Y32" i="4"/>
  <c r="J93" i="4"/>
  <c r="J8" i="12" s="1"/>
  <c r="M63" i="4"/>
  <c r="N60" i="4" s="1"/>
  <c r="Y27" i="4"/>
  <c r="Z25" i="4"/>
  <c r="E49" i="8"/>
  <c r="F10" i="12" l="1"/>
  <c r="H105" i="4"/>
  <c r="H6" i="8"/>
  <c r="H8" i="8" s="1"/>
  <c r="H16" i="8" s="1"/>
  <c r="N63" i="4"/>
  <c r="N62" i="4"/>
  <c r="N88" i="4" s="1"/>
  <c r="N89" i="4" s="1"/>
  <c r="Y12" i="10"/>
  <c r="X13" i="10"/>
  <c r="Y20" i="4"/>
  <c r="Z17" i="4"/>
  <c r="X47" i="4"/>
  <c r="X74" i="4" s="1"/>
  <c r="X61" i="4"/>
  <c r="X86" i="4" s="1"/>
  <c r="X54" i="4"/>
  <c r="X80" i="4" s="1"/>
  <c r="X17" i="12"/>
  <c r="E50" i="8"/>
  <c r="Z27" i="4"/>
  <c r="AA25" i="4"/>
  <c r="D19" i="9"/>
  <c r="D20" i="9"/>
  <c r="Z32" i="4"/>
  <c r="Y34" i="4"/>
  <c r="D27" i="9"/>
  <c r="F16" i="12"/>
  <c r="F19" i="12"/>
  <c r="W47" i="4"/>
  <c r="W74" i="4" s="1"/>
  <c r="W61" i="4"/>
  <c r="W86" i="4" s="1"/>
  <c r="W54" i="4"/>
  <c r="W80" i="4" s="1"/>
  <c r="W17" i="12"/>
  <c r="K48" i="4"/>
  <c r="K76" i="4" s="1"/>
  <c r="G42" i="8"/>
  <c r="G17" i="8"/>
  <c r="O81" i="4"/>
  <c r="O83" i="4" s="1"/>
  <c r="P79" i="4" s="1"/>
  <c r="H18" i="10"/>
  <c r="H19" i="10" s="1"/>
  <c r="H22" i="10" s="1"/>
  <c r="H10" i="9"/>
  <c r="I98" i="4"/>
  <c r="AB11" i="10"/>
  <c r="K75" i="4"/>
  <c r="K93" i="4" s="1"/>
  <c r="K8" i="12" s="1"/>
  <c r="F48" i="8"/>
  <c r="O55" i="4"/>
  <c r="O82" i="4" s="1"/>
  <c r="J5" i="12"/>
  <c r="J15" i="12" s="1"/>
  <c r="J96" i="4"/>
  <c r="J92" i="4"/>
  <c r="J97" i="4"/>
  <c r="J99" i="4" s="1"/>
  <c r="P81" i="4" l="1"/>
  <c r="O85" i="4"/>
  <c r="BK89" i="4"/>
  <c r="BK63" i="4"/>
  <c r="O60" i="4"/>
  <c r="AC11" i="10"/>
  <c r="H42" i="8"/>
  <c r="H17" i="8"/>
  <c r="H9" i="12" s="1"/>
  <c r="Z12" i="10"/>
  <c r="Y13" i="10"/>
  <c r="K49" i="4"/>
  <c r="F49" i="8"/>
  <c r="F50" i="8"/>
  <c r="D11" i="12"/>
  <c r="D28" i="9"/>
  <c r="D12" i="12" s="1"/>
  <c r="F18" i="12"/>
  <c r="AA27" i="4"/>
  <c r="AB25" i="4"/>
  <c r="E26" i="9"/>
  <c r="D6" i="10"/>
  <c r="D9" i="10" s="1"/>
  <c r="D14" i="10" s="1"/>
  <c r="D29" i="10" s="1"/>
  <c r="E6" i="9"/>
  <c r="E11" i="9" s="1"/>
  <c r="E51" i="8"/>
  <c r="E26" i="10"/>
  <c r="J8" i="9"/>
  <c r="J7" i="10"/>
  <c r="K77" i="4"/>
  <c r="J20" i="12"/>
  <c r="J6" i="12"/>
  <c r="Z20" i="4"/>
  <c r="Z37" i="4" s="1"/>
  <c r="AA17" i="4"/>
  <c r="O56" i="4"/>
  <c r="P53" i="4" s="1"/>
  <c r="G9" i="12"/>
  <c r="AA32" i="4"/>
  <c r="Z34" i="4"/>
  <c r="Y37" i="4"/>
  <c r="I100" i="4"/>
  <c r="I102" i="4" s="1"/>
  <c r="I101" i="4"/>
  <c r="G43" i="8"/>
  <c r="G46" i="8"/>
  <c r="F21" i="12"/>
  <c r="K91" i="4" l="1"/>
  <c r="L73" i="4"/>
  <c r="F6" i="9"/>
  <c r="F11" i="9" s="1"/>
  <c r="F51" i="8"/>
  <c r="K66" i="4"/>
  <c r="K7" i="12" s="1"/>
  <c r="L46" i="4"/>
  <c r="G48" i="8"/>
  <c r="AA12" i="10"/>
  <c r="BL12" i="10"/>
  <c r="Z13" i="10"/>
  <c r="BL13" i="10" s="1"/>
  <c r="D47" i="11" s="1"/>
  <c r="H19" i="12"/>
  <c r="H16" i="12"/>
  <c r="H18" i="12" s="1"/>
  <c r="H43" i="8"/>
  <c r="H10" i="12" s="1"/>
  <c r="H21" i="12" s="1"/>
  <c r="H46" i="8"/>
  <c r="H48" i="8" s="1"/>
  <c r="AD11" i="10"/>
  <c r="G16" i="12"/>
  <c r="G19" i="12"/>
  <c r="P55" i="4"/>
  <c r="P82" i="4" s="1"/>
  <c r="P83" i="4" s="1"/>
  <c r="Q79" i="4" s="1"/>
  <c r="AA20" i="4"/>
  <c r="AB17" i="4"/>
  <c r="O62" i="4"/>
  <c r="O88" i="4" s="1"/>
  <c r="O63" i="4"/>
  <c r="P60" i="4" s="1"/>
  <c r="E27" i="9"/>
  <c r="Z54" i="4"/>
  <c r="Z80" i="4" s="1"/>
  <c r="Z61" i="4"/>
  <c r="Z86" i="4" s="1"/>
  <c r="Z47" i="4"/>
  <c r="Z74" i="4" s="1"/>
  <c r="Z17" i="12"/>
  <c r="I6" i="8"/>
  <c r="I8" i="8" s="1"/>
  <c r="I16" i="8" s="1"/>
  <c r="I105" i="4"/>
  <c r="Y47" i="4"/>
  <c r="Y74" i="4" s="1"/>
  <c r="Y61" i="4"/>
  <c r="Y86" i="4" s="1"/>
  <c r="Y54" i="4"/>
  <c r="Y80" i="4" s="1"/>
  <c r="Y17" i="12"/>
  <c r="AB32" i="4"/>
  <c r="AA34" i="4"/>
  <c r="O87" i="4"/>
  <c r="O89" i="4"/>
  <c r="P85" i="4" s="1"/>
  <c r="G10" i="12"/>
  <c r="F26" i="10"/>
  <c r="E27" i="10"/>
  <c r="E28" i="10" s="1"/>
  <c r="I18" i="10"/>
  <c r="I19" i="10" s="1"/>
  <c r="I22" i="10" s="1"/>
  <c r="I10" i="9"/>
  <c r="J98" i="4"/>
  <c r="E25" i="9"/>
  <c r="E18" i="9"/>
  <c r="AB27" i="4"/>
  <c r="AC25" i="4"/>
  <c r="Q81" i="4" l="1"/>
  <c r="P56" i="4"/>
  <c r="Q53" i="4" s="1"/>
  <c r="G49" i="8"/>
  <c r="G50" i="8"/>
  <c r="L48" i="4"/>
  <c r="L76" i="4" s="1"/>
  <c r="G26" i="10"/>
  <c r="F27" i="10"/>
  <c r="F28" i="10" s="1"/>
  <c r="I17" i="8"/>
  <c r="I9" i="12" s="1"/>
  <c r="I42" i="8"/>
  <c r="AE11" i="10"/>
  <c r="AB20" i="4"/>
  <c r="AB37" i="4" s="1"/>
  <c r="AC17" i="4"/>
  <c r="F26" i="9"/>
  <c r="F27" i="9" s="1"/>
  <c r="E6" i="10"/>
  <c r="E9" i="10" s="1"/>
  <c r="E14" i="10" s="1"/>
  <c r="E29" i="10" s="1"/>
  <c r="P87" i="4"/>
  <c r="AD25" i="4"/>
  <c r="AC27" i="4"/>
  <c r="G18" i="12"/>
  <c r="AC32" i="4"/>
  <c r="AB34" i="4"/>
  <c r="AA37" i="4"/>
  <c r="F25" i="9"/>
  <c r="F18" i="9"/>
  <c r="H49" i="8"/>
  <c r="H50" i="8" s="1"/>
  <c r="E19" i="9"/>
  <c r="E20" i="9"/>
  <c r="AB12" i="10"/>
  <c r="AA13" i="10"/>
  <c r="L75" i="4"/>
  <c r="L77" i="4" s="1"/>
  <c r="G21" i="12"/>
  <c r="P63" i="4"/>
  <c r="Q60" i="4" s="1"/>
  <c r="P62" i="4"/>
  <c r="P88" i="4" s="1"/>
  <c r="P89" i="4" s="1"/>
  <c r="Q85" i="4" s="1"/>
  <c r="K5" i="12"/>
  <c r="K15" i="12" s="1"/>
  <c r="K96" i="4"/>
  <c r="K92" i="4"/>
  <c r="K97" i="4"/>
  <c r="K99" i="4" s="1"/>
  <c r="J100" i="4"/>
  <c r="J102" i="4" s="1"/>
  <c r="H6" i="9" l="1"/>
  <c r="H11" i="9" s="1"/>
  <c r="H51" i="8"/>
  <c r="M73" i="4"/>
  <c r="L91" i="4"/>
  <c r="Q87" i="4"/>
  <c r="AF11" i="10"/>
  <c r="I16" i="12"/>
  <c r="I18" i="12" s="1"/>
  <c r="I19" i="12"/>
  <c r="AD32" i="4"/>
  <c r="AC34" i="4"/>
  <c r="H26" i="10"/>
  <c r="G27" i="10"/>
  <c r="G28" i="10" s="1"/>
  <c r="L93" i="4"/>
  <c r="L8" i="12" s="1"/>
  <c r="I43" i="8"/>
  <c r="I10" i="12" s="1"/>
  <c r="I21" i="12" s="1"/>
  <c r="I46" i="8"/>
  <c r="I48" i="8" s="1"/>
  <c r="J6" i="8"/>
  <c r="J8" i="8" s="1"/>
  <c r="J16" i="8" s="1"/>
  <c r="J105" i="4"/>
  <c r="J101" i="4"/>
  <c r="AC12" i="10"/>
  <c r="AB13" i="10"/>
  <c r="L49" i="4"/>
  <c r="AD27" i="4"/>
  <c r="AE25" i="4"/>
  <c r="K20" i="12"/>
  <c r="K6" i="12"/>
  <c r="K8" i="9"/>
  <c r="K7" i="10"/>
  <c r="AC20" i="4"/>
  <c r="AD17" i="4"/>
  <c r="G6" i="9"/>
  <c r="G11" i="9" s="1"/>
  <c r="G51" i="8"/>
  <c r="Q62" i="4"/>
  <c r="Q88" i="4" s="1"/>
  <c r="Q89" i="4" s="1"/>
  <c r="R85" i="4" s="1"/>
  <c r="F6" i="10"/>
  <c r="F9" i="10" s="1"/>
  <c r="F14" i="10" s="1"/>
  <c r="F29" i="10" s="1"/>
  <c r="G26" i="9"/>
  <c r="AA54" i="4"/>
  <c r="AA80" i="4" s="1"/>
  <c r="AA61" i="4"/>
  <c r="AA86" i="4" s="1"/>
  <c r="AA47" i="4"/>
  <c r="AA74" i="4" s="1"/>
  <c r="AA17" i="12"/>
  <c r="AB47" i="4"/>
  <c r="AB74" i="4" s="1"/>
  <c r="AB61" i="4"/>
  <c r="AB86" i="4" s="1"/>
  <c r="AB54" i="4"/>
  <c r="AB80" i="4" s="1"/>
  <c r="AB17" i="12"/>
  <c r="E11" i="12"/>
  <c r="E28" i="9"/>
  <c r="E12" i="12" s="1"/>
  <c r="Q55" i="4"/>
  <c r="Q82" i="4" s="1"/>
  <c r="Q83" i="4" s="1"/>
  <c r="R79" i="4" s="1"/>
  <c r="Q56" i="4"/>
  <c r="R53" i="4" s="1"/>
  <c r="F19" i="9"/>
  <c r="F20" i="9"/>
  <c r="R81" i="4" l="1"/>
  <c r="R87" i="4"/>
  <c r="F11" i="12"/>
  <c r="F28" i="9"/>
  <c r="F12" i="12" s="1"/>
  <c r="L66" i="4"/>
  <c r="L7" i="12" s="1"/>
  <c r="M46" i="4"/>
  <c r="AE32" i="4"/>
  <c r="AD34" i="4"/>
  <c r="Q63" i="4"/>
  <c r="R60" i="4" s="1"/>
  <c r="AD12" i="10"/>
  <c r="AC13" i="10"/>
  <c r="J10" i="9"/>
  <c r="J18" i="10"/>
  <c r="J19" i="10" s="1"/>
  <c r="J22" i="10" s="1"/>
  <c r="K98" i="4"/>
  <c r="AG11" i="10"/>
  <c r="J42" i="8"/>
  <c r="J17" i="8"/>
  <c r="J9" i="12" s="1"/>
  <c r="R55" i="4"/>
  <c r="R82" i="4" s="1"/>
  <c r="R83" i="4" s="1"/>
  <c r="S79" i="4" s="1"/>
  <c r="R56" i="4"/>
  <c r="S53" i="4" s="1"/>
  <c r="AE27" i="4"/>
  <c r="AF25" i="4"/>
  <c r="H27" i="10"/>
  <c r="H28" i="10" s="1"/>
  <c r="G18" i="9"/>
  <c r="G25" i="9"/>
  <c r="L5" i="12"/>
  <c r="L15" i="12" s="1"/>
  <c r="L96" i="4"/>
  <c r="L97" i="4"/>
  <c r="L99" i="4" s="1"/>
  <c r="L92" i="4"/>
  <c r="M75" i="4"/>
  <c r="AD20" i="4"/>
  <c r="AE17" i="4"/>
  <c r="I49" i="8"/>
  <c r="I50" i="8"/>
  <c r="AC37" i="4"/>
  <c r="H18" i="9"/>
  <c r="H25" i="9"/>
  <c r="S81" i="4" l="1"/>
  <c r="S83" i="4" s="1"/>
  <c r="T79" i="4" s="1"/>
  <c r="J43" i="8"/>
  <c r="J10" i="12" s="1"/>
  <c r="J21" i="12" s="1"/>
  <c r="J46" i="8"/>
  <c r="J48" i="8" s="1"/>
  <c r="K100" i="4"/>
  <c r="K102" i="4" s="1"/>
  <c r="K101" i="4"/>
  <c r="H20" i="9"/>
  <c r="H19" i="9"/>
  <c r="J16" i="12"/>
  <c r="J18" i="12" s="1"/>
  <c r="J19" i="12"/>
  <c r="G19" i="9"/>
  <c r="G20" i="9"/>
  <c r="AH11" i="10"/>
  <c r="AC54" i="4"/>
  <c r="AC80" i="4" s="1"/>
  <c r="AC47" i="4"/>
  <c r="AC74" i="4" s="1"/>
  <c r="AC61" i="4"/>
  <c r="AC86" i="4" s="1"/>
  <c r="AC17" i="12"/>
  <c r="I6" i="9"/>
  <c r="I11" i="9" s="1"/>
  <c r="I51" i="8"/>
  <c r="R62" i="4"/>
  <c r="R88" i="4" s="1"/>
  <c r="R89" i="4" s="1"/>
  <c r="S85" i="4" s="1"/>
  <c r="R63" i="4"/>
  <c r="S60" i="4" s="1"/>
  <c r="AD37" i="4"/>
  <c r="AF32" i="4"/>
  <c r="AE34" i="4"/>
  <c r="G27" i="9"/>
  <c r="AG25" i="4"/>
  <c r="AF27" i="4"/>
  <c r="AE12" i="10"/>
  <c r="AD13" i="10"/>
  <c r="AE20" i="4"/>
  <c r="AF17" i="4"/>
  <c r="I26" i="10"/>
  <c r="M48" i="4"/>
  <c r="M76" i="4" s="1"/>
  <c r="S55" i="4"/>
  <c r="S82" i="4" s="1"/>
  <c r="L20" i="12"/>
  <c r="L6" i="12"/>
  <c r="L8" i="9"/>
  <c r="L7" i="10"/>
  <c r="S87" i="4" l="1"/>
  <c r="S89" i="4" s="1"/>
  <c r="T85" i="4" s="1"/>
  <c r="T81" i="4"/>
  <c r="AH25" i="4"/>
  <c r="AG27" i="4"/>
  <c r="AD47" i="4"/>
  <c r="AD74" i="4" s="1"/>
  <c r="AD61" i="4"/>
  <c r="AD86" i="4" s="1"/>
  <c r="AD54" i="4"/>
  <c r="AD80" i="4" s="1"/>
  <c r="AD17" i="12"/>
  <c r="G11" i="12"/>
  <c r="G28" i="9"/>
  <c r="G12" i="12" s="1"/>
  <c r="H26" i="9"/>
  <c r="H27" i="9" s="1"/>
  <c r="G6" i="10"/>
  <c r="G9" i="10" s="1"/>
  <c r="G14" i="10" s="1"/>
  <c r="G29" i="10" s="1"/>
  <c r="AG32" i="4"/>
  <c r="AF34" i="4"/>
  <c r="S62" i="4"/>
  <c r="S88" i="4" s="1"/>
  <c r="I18" i="9"/>
  <c r="I25" i="9"/>
  <c r="H11" i="12"/>
  <c r="H28" i="9"/>
  <c r="H12" i="12" s="1"/>
  <c r="S56" i="4"/>
  <c r="T53" i="4" s="1"/>
  <c r="M93" i="4"/>
  <c r="M8" i="12" s="1"/>
  <c r="M77" i="4"/>
  <c r="I27" i="10"/>
  <c r="I28" i="10" s="1"/>
  <c r="M49" i="4"/>
  <c r="K10" i="9"/>
  <c r="K18" i="10"/>
  <c r="K19" i="10" s="1"/>
  <c r="K22" i="10" s="1"/>
  <c r="L98" i="4"/>
  <c r="K6" i="8"/>
  <c r="K8" i="8" s="1"/>
  <c r="K16" i="8" s="1"/>
  <c r="K105" i="4"/>
  <c r="AE37" i="4"/>
  <c r="AF20" i="4"/>
  <c r="AG17" i="4"/>
  <c r="J49" i="8"/>
  <c r="J50" i="8" s="1"/>
  <c r="AF12" i="10"/>
  <c r="AE13" i="10"/>
  <c r="AI11" i="10"/>
  <c r="J6" i="9" l="1"/>
  <c r="J11" i="9" s="1"/>
  <c r="J51" i="8"/>
  <c r="J26" i="10"/>
  <c r="T87" i="4"/>
  <c r="AE47" i="4"/>
  <c r="AE74" i="4" s="1"/>
  <c r="AE61" i="4"/>
  <c r="AE86" i="4" s="1"/>
  <c r="AE54" i="4"/>
  <c r="AE80" i="4" s="1"/>
  <c r="AE17" i="12"/>
  <c r="K42" i="8"/>
  <c r="K17" i="8"/>
  <c r="K9" i="12" s="1"/>
  <c r="L100" i="4"/>
  <c r="L102" i="4" s="1"/>
  <c r="L101" i="4"/>
  <c r="H6" i="10"/>
  <c r="H9" i="10" s="1"/>
  <c r="H14" i="10" s="1"/>
  <c r="H29" i="10" s="1"/>
  <c r="I26" i="9"/>
  <c r="I27" i="9" s="1"/>
  <c r="M91" i="4"/>
  <c r="N73" i="4"/>
  <c r="T55" i="4"/>
  <c r="T82" i="4" s="1"/>
  <c r="T83" i="4" s="1"/>
  <c r="U79" i="4" s="1"/>
  <c r="AJ11" i="10"/>
  <c r="AG12" i="10"/>
  <c r="AF13" i="10"/>
  <c r="AG34" i="4"/>
  <c r="AH32" i="4"/>
  <c r="N46" i="4"/>
  <c r="M66" i="4"/>
  <c r="M7" i="12" s="1"/>
  <c r="AI25" i="4"/>
  <c r="AH27" i="4"/>
  <c r="AH17" i="4"/>
  <c r="AG20" i="4"/>
  <c r="AG37" i="4" s="1"/>
  <c r="AF37" i="4"/>
  <c r="I20" i="9"/>
  <c r="I19" i="9"/>
  <c r="S63" i="4"/>
  <c r="T60" i="4" s="1"/>
  <c r="U81" i="4" l="1"/>
  <c r="T56" i="4"/>
  <c r="U53" i="4" s="1"/>
  <c r="AG61" i="4"/>
  <c r="AG86" i="4" s="1"/>
  <c r="AG47" i="4"/>
  <c r="AG74" i="4" s="1"/>
  <c r="AG54" i="4"/>
  <c r="AG80" i="4" s="1"/>
  <c r="AG17" i="12"/>
  <c r="AI17" i="4"/>
  <c r="AH20" i="4"/>
  <c r="AH37" i="4" s="1"/>
  <c r="L6" i="8"/>
  <c r="L8" i="8" s="1"/>
  <c r="L16" i="8" s="1"/>
  <c r="L105" i="4"/>
  <c r="T62" i="4"/>
  <c r="T88" i="4" s="1"/>
  <c r="T89" i="4" s="1"/>
  <c r="U85" i="4" s="1"/>
  <c r="T63" i="4"/>
  <c r="U60" i="4" s="1"/>
  <c r="L10" i="9"/>
  <c r="L18" i="10"/>
  <c r="L19" i="10" s="1"/>
  <c r="L22" i="10" s="1"/>
  <c r="M98" i="4"/>
  <c r="I11" i="12"/>
  <c r="I28" i="9"/>
  <c r="I12" i="12" s="1"/>
  <c r="AF47" i="4"/>
  <c r="AF74" i="4" s="1"/>
  <c r="AF61" i="4"/>
  <c r="AF86" i="4" s="1"/>
  <c r="AF54" i="4"/>
  <c r="AF80" i="4" s="1"/>
  <c r="AF17" i="12"/>
  <c r="J26" i="9"/>
  <c r="I6" i="10"/>
  <c r="I9" i="10" s="1"/>
  <c r="I14" i="10" s="1"/>
  <c r="I29" i="10" s="1"/>
  <c r="AJ25" i="4"/>
  <c r="AI27" i="4"/>
  <c r="K43" i="8"/>
  <c r="K10" i="12" s="1"/>
  <c r="K21" i="12" s="1"/>
  <c r="K46" i="8"/>
  <c r="K48" i="8" s="1"/>
  <c r="J27" i="10"/>
  <c r="J28" i="10" s="1"/>
  <c r="N75" i="4"/>
  <c r="N77" i="4" s="1"/>
  <c r="M5" i="12"/>
  <c r="M15" i="12" s="1"/>
  <c r="M97" i="4"/>
  <c r="M99" i="4" s="1"/>
  <c r="M96" i="4"/>
  <c r="M92" i="4"/>
  <c r="K16" i="12"/>
  <c r="K18" i="12" s="1"/>
  <c r="K19" i="12"/>
  <c r="N48" i="4"/>
  <c r="N76" i="4" s="1"/>
  <c r="AH34" i="4"/>
  <c r="AI32" i="4"/>
  <c r="AH12" i="10"/>
  <c r="AG13" i="10"/>
  <c r="AK11" i="10"/>
  <c r="J25" i="9"/>
  <c r="J18" i="9"/>
  <c r="O73" i="4" l="1"/>
  <c r="N91" i="4"/>
  <c r="BK77" i="4"/>
  <c r="U87" i="4"/>
  <c r="U89" i="4" s="1"/>
  <c r="V85" i="4" s="1"/>
  <c r="L17" i="8"/>
  <c r="L9" i="12" s="1"/>
  <c r="L42" i="8"/>
  <c r="M7" i="10"/>
  <c r="M8" i="9"/>
  <c r="K50" i="8"/>
  <c r="K49" i="8"/>
  <c r="M20" i="12"/>
  <c r="M6" i="12"/>
  <c r="AJ17" i="4"/>
  <c r="AI20" i="4"/>
  <c r="N93" i="4"/>
  <c r="N8" i="12" s="1"/>
  <c r="AJ27" i="4"/>
  <c r="AK25" i="4"/>
  <c r="AL11" i="10"/>
  <c r="AI12" i="10"/>
  <c r="AH13" i="10"/>
  <c r="U55" i="4"/>
  <c r="U82" i="4" s="1"/>
  <c r="U83" i="4" s="1"/>
  <c r="V79" i="4" s="1"/>
  <c r="N49" i="4"/>
  <c r="M101" i="4"/>
  <c r="M100" i="4"/>
  <c r="M102" i="4" s="1"/>
  <c r="U62" i="4"/>
  <c r="U88" i="4" s="1"/>
  <c r="AH47" i="4"/>
  <c r="AH74" i="4" s="1"/>
  <c r="AH61" i="4"/>
  <c r="AH86" i="4" s="1"/>
  <c r="AH54" i="4"/>
  <c r="AH80" i="4" s="1"/>
  <c r="AH17" i="12"/>
  <c r="J27" i="9"/>
  <c r="AI34" i="4"/>
  <c r="AJ32" i="4"/>
  <c r="J20" i="9"/>
  <c r="J19" i="9"/>
  <c r="M105" i="4" l="1"/>
  <c r="M6" i="8"/>
  <c r="M8" i="8" s="1"/>
  <c r="M16" i="8" s="1"/>
  <c r="V81" i="4"/>
  <c r="V87" i="4"/>
  <c r="AK17" i="4"/>
  <c r="AJ20" i="4"/>
  <c r="AJ37" i="4" s="1"/>
  <c r="K6" i="9"/>
  <c r="K11" i="9" s="1"/>
  <c r="K51" i="8"/>
  <c r="K26" i="10"/>
  <c r="K26" i="9"/>
  <c r="J6" i="10"/>
  <c r="J9" i="10" s="1"/>
  <c r="J14" i="10" s="1"/>
  <c r="J29" i="10" s="1"/>
  <c r="U63" i="4"/>
  <c r="V60" i="4" s="1"/>
  <c r="M18" i="10"/>
  <c r="M19" i="10" s="1"/>
  <c r="M22" i="10" s="1"/>
  <c r="M10" i="9"/>
  <c r="N98" i="4"/>
  <c r="BM11" i="10"/>
  <c r="AM11" i="10"/>
  <c r="AL25" i="4"/>
  <c r="AK27" i="4"/>
  <c r="L46" i="8"/>
  <c r="L48" i="8" s="1"/>
  <c r="L43" i="8"/>
  <c r="L10" i="12" s="1"/>
  <c r="L21" i="12" s="1"/>
  <c r="J11" i="12"/>
  <c r="J28" i="9"/>
  <c r="J12" i="12" s="1"/>
  <c r="AJ12" i="10"/>
  <c r="AI13" i="10"/>
  <c r="AJ34" i="4"/>
  <c r="AK32" i="4"/>
  <c r="N5" i="12"/>
  <c r="N97" i="4"/>
  <c r="N99" i="4" s="1"/>
  <c r="BK91" i="4"/>
  <c r="N96" i="4"/>
  <c r="N92" i="4"/>
  <c r="O46" i="4"/>
  <c r="BK49" i="4"/>
  <c r="N66" i="4"/>
  <c r="U56" i="4"/>
  <c r="V53" i="4" s="1"/>
  <c r="L16" i="12"/>
  <c r="L18" i="12" s="1"/>
  <c r="L19" i="12"/>
  <c r="AI37" i="4"/>
  <c r="O75" i="4"/>
  <c r="O48" i="4" l="1"/>
  <c r="O76" i="4" s="1"/>
  <c r="O77" i="4" s="1"/>
  <c r="AI47" i="4"/>
  <c r="AI74" i="4" s="1"/>
  <c r="AI61" i="4"/>
  <c r="AI86" i="4" s="1"/>
  <c r="AI54" i="4"/>
  <c r="AI80" i="4" s="1"/>
  <c r="AI17" i="12"/>
  <c r="V55" i="4"/>
  <c r="V82" i="4" s="1"/>
  <c r="V83" i="4" s="1"/>
  <c r="W79" i="4" s="1"/>
  <c r="N7" i="10"/>
  <c r="BK7" i="10" s="1"/>
  <c r="C45" i="11" s="1"/>
  <c r="N8" i="9"/>
  <c r="AL27" i="4"/>
  <c r="BM25" i="4"/>
  <c r="BO25" i="4"/>
  <c r="BP25" i="4"/>
  <c r="BN25" i="4"/>
  <c r="BL25" i="4"/>
  <c r="BK25" i="4"/>
  <c r="AJ47" i="4"/>
  <c r="AJ74" i="4" s="1"/>
  <c r="AJ54" i="4"/>
  <c r="AJ80" i="4" s="1"/>
  <c r="AJ61" i="4"/>
  <c r="AJ86" i="4" s="1"/>
  <c r="AJ17" i="12"/>
  <c r="BK5" i="12"/>
  <c r="AN11" i="10"/>
  <c r="K27" i="9"/>
  <c r="AK34" i="4"/>
  <c r="AL32" i="4"/>
  <c r="AK12" i="10"/>
  <c r="AJ13" i="10"/>
  <c r="N7" i="12"/>
  <c r="BK7" i="12" s="1"/>
  <c r="BK66" i="4"/>
  <c r="V62" i="4"/>
  <c r="V88" i="4" s="1"/>
  <c r="V89" i="4" s="1"/>
  <c r="W85" i="4" s="1"/>
  <c r="K27" i="10"/>
  <c r="K28" i="10" s="1"/>
  <c r="AL17" i="4"/>
  <c r="AK20" i="4"/>
  <c r="AK37" i="4" s="1"/>
  <c r="M42" i="8"/>
  <c r="M17" i="8"/>
  <c r="M9" i="12" s="1"/>
  <c r="N100" i="4"/>
  <c r="N102" i="4" s="1"/>
  <c r="N20" i="12"/>
  <c r="N6" i="12"/>
  <c r="BK6" i="12" s="1"/>
  <c r="BK92" i="4"/>
  <c r="K25" i="9"/>
  <c r="K18" i="9"/>
  <c r="L49" i="8"/>
  <c r="L50" i="8" s="1"/>
  <c r="L6" i="9" l="1"/>
  <c r="L11" i="9" s="1"/>
  <c r="L51" i="8"/>
  <c r="L26" i="10"/>
  <c r="N6" i="8"/>
  <c r="N8" i="8" s="1"/>
  <c r="N16" i="8" s="1"/>
  <c r="N105" i="4"/>
  <c r="W81" i="4"/>
  <c r="W87" i="4"/>
  <c r="N101" i="4"/>
  <c r="M43" i="8"/>
  <c r="M10" i="12" s="1"/>
  <c r="M21" i="12" s="1"/>
  <c r="M46" i="8"/>
  <c r="M48" i="8" s="1"/>
  <c r="AK47" i="4"/>
  <c r="AK74" i="4" s="1"/>
  <c r="AK54" i="4"/>
  <c r="AK80" i="4" s="1"/>
  <c r="AK61" i="4"/>
  <c r="AK86" i="4" s="1"/>
  <c r="AK17" i="12"/>
  <c r="BO27" i="4"/>
  <c r="BL27" i="4"/>
  <c r="BN27" i="4"/>
  <c r="BK27" i="4"/>
  <c r="BM27" i="4"/>
  <c r="BP27" i="4"/>
  <c r="M19" i="12"/>
  <c r="M16" i="12"/>
  <c r="M18" i="12" s="1"/>
  <c r="L26" i="9"/>
  <c r="K6" i="10"/>
  <c r="K9" i="10" s="1"/>
  <c r="K14" i="10" s="1"/>
  <c r="K29" i="10" s="1"/>
  <c r="AL20" i="4"/>
  <c r="BO17" i="4"/>
  <c r="BN17" i="4"/>
  <c r="BM17" i="4"/>
  <c r="BP17" i="4"/>
  <c r="BK17" i="4"/>
  <c r="BL17" i="4"/>
  <c r="V63" i="4"/>
  <c r="W60" i="4" s="1"/>
  <c r="V56" i="4"/>
  <c r="W53" i="4" s="1"/>
  <c r="AL12" i="10"/>
  <c r="AK13" i="10"/>
  <c r="O91" i="4"/>
  <c r="P73" i="4"/>
  <c r="N15" i="12"/>
  <c r="O49" i="4"/>
  <c r="AL34" i="4"/>
  <c r="BO32" i="4"/>
  <c r="BM32" i="4"/>
  <c r="BN32" i="4"/>
  <c r="BK32" i="4"/>
  <c r="BL32" i="4"/>
  <c r="BP32" i="4"/>
  <c r="AO11" i="10"/>
  <c r="K20" i="9"/>
  <c r="K19" i="9"/>
  <c r="O93" i="4"/>
  <c r="O8" i="12" s="1"/>
  <c r="BL34" i="4" l="1"/>
  <c r="BM34" i="4"/>
  <c r="BN34" i="4"/>
  <c r="BK34" i="4"/>
  <c r="BO34" i="4"/>
  <c r="BP34" i="4"/>
  <c r="P46" i="4"/>
  <c r="O66" i="4"/>
  <c r="O7" i="12" s="1"/>
  <c r="N16" i="12"/>
  <c r="N18" i="12" s="1"/>
  <c r="N19" i="12"/>
  <c r="P75" i="4"/>
  <c r="O5" i="12"/>
  <c r="O15" i="12" s="1"/>
  <c r="O92" i="4"/>
  <c r="O97" i="4"/>
  <c r="O99" i="4" s="1"/>
  <c r="O96" i="4"/>
  <c r="BM12" i="10"/>
  <c r="AM12" i="10"/>
  <c r="AL13" i="10"/>
  <c r="BM13" i="10" s="1"/>
  <c r="E47" i="11" s="1"/>
  <c r="M50" i="8"/>
  <c r="M49" i="8"/>
  <c r="W55" i="4"/>
  <c r="W82" i="4" s="1"/>
  <c r="W83" i="4" s="1"/>
  <c r="X79" i="4" s="1"/>
  <c r="W56" i="4"/>
  <c r="X53" i="4" s="1"/>
  <c r="W62" i="4"/>
  <c r="W88" i="4" s="1"/>
  <c r="W89" i="4" s="1"/>
  <c r="X85" i="4" s="1"/>
  <c r="W63" i="4"/>
  <c r="X60" i="4" s="1"/>
  <c r="N18" i="10"/>
  <c r="BK101" i="4"/>
  <c r="N10" i="9"/>
  <c r="O98" i="4"/>
  <c r="N17" i="8"/>
  <c r="N9" i="12" s="1"/>
  <c r="N42" i="8"/>
  <c r="AL37" i="4"/>
  <c r="BP20" i="4"/>
  <c r="BL20" i="4"/>
  <c r="BN20" i="4"/>
  <c r="BM20" i="4"/>
  <c r="BO20" i="4"/>
  <c r="BK20" i="4"/>
  <c r="L27" i="10"/>
  <c r="L28" i="10" s="1"/>
  <c r="K11" i="12"/>
  <c r="K28" i="9"/>
  <c r="K12" i="12" s="1"/>
  <c r="AP11" i="10"/>
  <c r="L25" i="9"/>
  <c r="L27" i="9" s="1"/>
  <c r="L18" i="9"/>
  <c r="X87" i="4" l="1"/>
  <c r="X89" i="4" s="1"/>
  <c r="Y85" i="4" s="1"/>
  <c r="X81" i="4"/>
  <c r="M26" i="9"/>
  <c r="L6" i="10"/>
  <c r="L9" i="10" s="1"/>
  <c r="L14" i="10" s="1"/>
  <c r="L29" i="10" s="1"/>
  <c r="M6" i="9"/>
  <c r="M11" i="9" s="1"/>
  <c r="M51" i="8"/>
  <c r="AN12" i="10"/>
  <c r="AM13" i="10"/>
  <c r="O8" i="9"/>
  <c r="O7" i="10"/>
  <c r="M26" i="10"/>
  <c r="AQ11" i="10"/>
  <c r="O20" i="12"/>
  <c r="O6" i="12"/>
  <c r="P77" i="4"/>
  <c r="AL54" i="4"/>
  <c r="AL47" i="4"/>
  <c r="AL61" i="4"/>
  <c r="BN37" i="4"/>
  <c r="BK37" i="4"/>
  <c r="BM37" i="4"/>
  <c r="BL37" i="4"/>
  <c r="BP37" i="4"/>
  <c r="BO37" i="4"/>
  <c r="AL17" i="12"/>
  <c r="N43" i="8"/>
  <c r="N10" i="12" s="1"/>
  <c r="N21" i="12" s="1"/>
  <c r="N46" i="8"/>
  <c r="N48" i="8" s="1"/>
  <c r="O100" i="4"/>
  <c r="O101" i="4" s="1"/>
  <c r="P48" i="4"/>
  <c r="P76" i="4" s="1"/>
  <c r="P93" i="4" s="1"/>
  <c r="P8" i="12" s="1"/>
  <c r="BK18" i="10"/>
  <c r="C52" i="11" s="1"/>
  <c r="N19" i="10"/>
  <c r="X62" i="4"/>
  <c r="X88" i="4" s="1"/>
  <c r="L20" i="9"/>
  <c r="L19" i="9"/>
  <c r="X55" i="4"/>
  <c r="X82" i="4" s="1"/>
  <c r="X83" i="4" s="1"/>
  <c r="Y79" i="4" s="1"/>
  <c r="Y81" i="4" l="1"/>
  <c r="O18" i="10"/>
  <c r="O19" i="10" s="1"/>
  <c r="O22" i="10" s="1"/>
  <c r="O10" i="9"/>
  <c r="P98" i="4"/>
  <c r="Y87" i="4"/>
  <c r="L28" i="9"/>
  <c r="L12" i="12" s="1"/>
  <c r="L11" i="12"/>
  <c r="X63" i="4"/>
  <c r="Y60" i="4" s="1"/>
  <c r="N22" i="10"/>
  <c r="BK19" i="10"/>
  <c r="C53" i="11" s="1"/>
  <c r="X56" i="4"/>
  <c r="Y53" i="4" s="1"/>
  <c r="AL80" i="4"/>
  <c r="BK54" i="4"/>
  <c r="BP54" i="4"/>
  <c r="BO54" i="4"/>
  <c r="BN54" i="4"/>
  <c r="BM54" i="4"/>
  <c r="BL54" i="4"/>
  <c r="Q73" i="4"/>
  <c r="P91" i="4"/>
  <c r="N49" i="8"/>
  <c r="N50" i="8" s="1"/>
  <c r="AR11" i="10"/>
  <c r="M27" i="10"/>
  <c r="M28" i="10" s="1"/>
  <c r="P49" i="4"/>
  <c r="O102" i="4"/>
  <c r="AO12" i="10"/>
  <c r="AN13" i="10"/>
  <c r="BM17" i="12"/>
  <c r="BO17" i="12"/>
  <c r="BK17" i="12"/>
  <c r="BL17" i="12"/>
  <c r="BN17" i="12"/>
  <c r="BP17" i="12"/>
  <c r="M18" i="9"/>
  <c r="M25" i="9"/>
  <c r="M27" i="9"/>
  <c r="AL86" i="4"/>
  <c r="BN61" i="4"/>
  <c r="BM61" i="4"/>
  <c r="BO61" i="4"/>
  <c r="BK61" i="4"/>
  <c r="BL61" i="4"/>
  <c r="BP61" i="4"/>
  <c r="AL74" i="4"/>
  <c r="BP47" i="4"/>
  <c r="BK47" i="4"/>
  <c r="BL47" i="4"/>
  <c r="BN47" i="4"/>
  <c r="BM47" i="4"/>
  <c r="BO47" i="4"/>
  <c r="N51" i="8" l="1"/>
  <c r="N6" i="9"/>
  <c r="N11" i="9" s="1"/>
  <c r="N26" i="10"/>
  <c r="P5" i="12"/>
  <c r="P15" i="12" s="1"/>
  <c r="P92" i="4"/>
  <c r="P97" i="4"/>
  <c r="P99" i="4" s="1"/>
  <c r="P96" i="4"/>
  <c r="Q75" i="4"/>
  <c r="BK22" i="10"/>
  <c r="C55" i="11" s="1"/>
  <c r="Y62" i="4"/>
  <c r="Y88" i="4" s="1"/>
  <c r="Y89" i="4" s="1"/>
  <c r="Z85" i="4" s="1"/>
  <c r="AP12" i="10"/>
  <c r="AO13" i="10"/>
  <c r="O6" i="8"/>
  <c r="O8" i="8" s="1"/>
  <c r="O16" i="8" s="1"/>
  <c r="O105" i="4"/>
  <c r="N26" i="9"/>
  <c r="M6" i="10"/>
  <c r="M9" i="10" s="1"/>
  <c r="M14" i="10" s="1"/>
  <c r="M29" i="10" s="1"/>
  <c r="M20" i="9"/>
  <c r="M19" i="9"/>
  <c r="Q46" i="4"/>
  <c r="P66" i="4"/>
  <c r="P7" i="12" s="1"/>
  <c r="Y55" i="4"/>
  <c r="Y82" i="4" s="1"/>
  <c r="Y83" i="4" s="1"/>
  <c r="Z79" i="4" s="1"/>
  <c r="AS11" i="10"/>
  <c r="Z87" i="4" l="1"/>
  <c r="M28" i="9"/>
  <c r="M12" i="12" s="1"/>
  <c r="M11" i="12"/>
  <c r="N27" i="9"/>
  <c r="Z81" i="4"/>
  <c r="Y63" i="4"/>
  <c r="Z60" i="4" s="1"/>
  <c r="AT11" i="10"/>
  <c r="Q77" i="4"/>
  <c r="P100" i="4"/>
  <c r="P102" i="4" s="1"/>
  <c r="BK26" i="10"/>
  <c r="N27" i="10"/>
  <c r="O42" i="8"/>
  <c r="O17" i="8"/>
  <c r="O9" i="12" s="1"/>
  <c r="AQ12" i="10"/>
  <c r="AP13" i="10"/>
  <c r="P20" i="12"/>
  <c r="P6" i="12"/>
  <c r="N18" i="9"/>
  <c r="N25" i="9"/>
  <c r="Q48" i="4"/>
  <c r="Q76" i="4" s="1"/>
  <c r="Q93" i="4" s="1"/>
  <c r="Q8" i="12" s="1"/>
  <c r="P8" i="9"/>
  <c r="P7" i="10"/>
  <c r="Y56" i="4"/>
  <c r="Z53" i="4" s="1"/>
  <c r="P6" i="8" l="1"/>
  <c r="P8" i="8" s="1"/>
  <c r="P16" i="8" s="1"/>
  <c r="P105" i="4"/>
  <c r="AR12" i="10"/>
  <c r="AQ13" i="10"/>
  <c r="O16" i="12"/>
  <c r="O18" i="12" s="1"/>
  <c r="O19" i="12"/>
  <c r="BK27" i="10"/>
  <c r="C58" i="11" s="1"/>
  <c r="N28" i="10"/>
  <c r="BK28" i="10" s="1"/>
  <c r="C59" i="11" s="1"/>
  <c r="P101" i="4"/>
  <c r="O46" i="8"/>
  <c r="O48" i="8" s="1"/>
  <c r="O43" i="8"/>
  <c r="O10" i="12" s="1"/>
  <c r="O21" i="12" s="1"/>
  <c r="R73" i="4"/>
  <c r="Q91" i="4"/>
  <c r="Z62" i="4"/>
  <c r="Z88" i="4" s="1"/>
  <c r="Z89" i="4" s="1"/>
  <c r="Z63" i="4"/>
  <c r="AU11" i="10"/>
  <c r="Z55" i="4"/>
  <c r="Z82" i="4" s="1"/>
  <c r="Z83" i="4" s="1"/>
  <c r="BK27" i="9"/>
  <c r="C39" i="11" s="1"/>
  <c r="O26" i="9"/>
  <c r="N6" i="10"/>
  <c r="Q49" i="4"/>
  <c r="N20" i="9"/>
  <c r="N19" i="9"/>
  <c r="AA85" i="4" l="1"/>
  <c r="BL89" i="4"/>
  <c r="R46" i="4"/>
  <c r="Q66" i="4"/>
  <c r="Q7" i="12" s="1"/>
  <c r="N9" i="10"/>
  <c r="BK6" i="10"/>
  <c r="C44" i="11" s="1"/>
  <c r="AV11" i="10"/>
  <c r="Q5" i="12"/>
  <c r="Q15" i="12" s="1"/>
  <c r="Q92" i="4"/>
  <c r="Q97" i="4"/>
  <c r="Q99" i="4" s="1"/>
  <c r="Q96" i="4"/>
  <c r="AA79" i="4"/>
  <c r="BL83" i="4"/>
  <c r="BL63" i="4"/>
  <c r="AA60" i="4"/>
  <c r="P18" i="10"/>
  <c r="P19" i="10" s="1"/>
  <c r="P22" i="10" s="1"/>
  <c r="P10" i="9"/>
  <c r="Q98" i="4"/>
  <c r="Z56" i="4"/>
  <c r="R75" i="4"/>
  <c r="O49" i="8"/>
  <c r="O50" i="8" s="1"/>
  <c r="N28" i="9"/>
  <c r="N11" i="12"/>
  <c r="AS12" i="10"/>
  <c r="AR13" i="10"/>
  <c r="P17" i="8"/>
  <c r="P9" i="12" s="1"/>
  <c r="P42" i="8"/>
  <c r="O51" i="8" l="1"/>
  <c r="O6" i="9"/>
  <c r="O11" i="9" s="1"/>
  <c r="O26" i="10"/>
  <c r="Q100" i="4"/>
  <c r="Q101" i="4"/>
  <c r="BL56" i="4"/>
  <c r="AA53" i="4"/>
  <c r="AA62" i="4"/>
  <c r="AA88" i="4" s="1"/>
  <c r="AA81" i="4"/>
  <c r="Q20" i="12"/>
  <c r="Q6" i="12"/>
  <c r="P43" i="8"/>
  <c r="P10" i="12" s="1"/>
  <c r="P21" i="12" s="1"/>
  <c r="P46" i="8"/>
  <c r="P48" i="8" s="1"/>
  <c r="AW11" i="10"/>
  <c r="Q8" i="9"/>
  <c r="Q7" i="10"/>
  <c r="Q102" i="4"/>
  <c r="P19" i="12"/>
  <c r="P16" i="12"/>
  <c r="P18" i="12" s="1"/>
  <c r="AT12" i="10"/>
  <c r="AS13" i="10"/>
  <c r="R48" i="4"/>
  <c r="R76" i="4" s="1"/>
  <c r="R77" i="4" s="1"/>
  <c r="N14" i="10"/>
  <c r="BK9" i="10"/>
  <c r="C46" i="11" s="1"/>
  <c r="N12" i="12"/>
  <c r="BK12" i="12" s="1"/>
  <c r="BK28" i="9"/>
  <c r="C40" i="11" s="1"/>
  <c r="AA87" i="4"/>
  <c r="AA89" i="4"/>
  <c r="AB85" i="4" s="1"/>
  <c r="AB87" i="4" l="1"/>
  <c r="Q6" i="8"/>
  <c r="Q8" i="8" s="1"/>
  <c r="Q16" i="8" s="1"/>
  <c r="Q105" i="4"/>
  <c r="AX11" i="10"/>
  <c r="P49" i="8"/>
  <c r="P50" i="8" s="1"/>
  <c r="AA55" i="4"/>
  <c r="AA82" i="4" s="1"/>
  <c r="AA83" i="4" s="1"/>
  <c r="AB79" i="4" s="1"/>
  <c r="R93" i="4"/>
  <c r="R8" i="12" s="1"/>
  <c r="AA63" i="4"/>
  <c r="AB60" i="4" s="1"/>
  <c r="R91" i="4"/>
  <c r="S73" i="4"/>
  <c r="O27" i="10"/>
  <c r="O28" i="10" s="1"/>
  <c r="N29" i="10"/>
  <c r="BK29" i="10" s="1"/>
  <c r="C60" i="11" s="1"/>
  <c r="BK14" i="10"/>
  <c r="C48" i="11" s="1"/>
  <c r="R49" i="4"/>
  <c r="Q18" i="10"/>
  <c r="Q19" i="10" s="1"/>
  <c r="Q22" i="10" s="1"/>
  <c r="Q10" i="9"/>
  <c r="R98" i="4"/>
  <c r="AU12" i="10"/>
  <c r="AT13" i="10"/>
  <c r="O18" i="9"/>
  <c r="O25" i="9"/>
  <c r="O27" i="9" s="1"/>
  <c r="P6" i="9" l="1"/>
  <c r="P11" i="9" s="1"/>
  <c r="P51" i="8"/>
  <c r="P26" i="10"/>
  <c r="AB81" i="4"/>
  <c r="AV12" i="10"/>
  <c r="AU13" i="10"/>
  <c r="P26" i="9"/>
  <c r="O6" i="10"/>
  <c r="O9" i="10" s="1"/>
  <c r="O14" i="10" s="1"/>
  <c r="O29" i="10" s="1"/>
  <c r="S46" i="4"/>
  <c r="R66" i="4"/>
  <c r="R7" i="12" s="1"/>
  <c r="S75" i="4"/>
  <c r="R5" i="12"/>
  <c r="R92" i="4"/>
  <c r="R96" i="4"/>
  <c r="R97" i="4"/>
  <c r="R99" i="4" s="1"/>
  <c r="R100" i="4" s="1"/>
  <c r="AB62" i="4"/>
  <c r="AB88" i="4" s="1"/>
  <c r="AB89" i="4" s="1"/>
  <c r="AC85" i="4" s="1"/>
  <c r="AA56" i="4"/>
  <c r="AB53" i="4" s="1"/>
  <c r="AY11" i="10"/>
  <c r="Q17" i="8"/>
  <c r="Q9" i="12" s="1"/>
  <c r="Q42" i="8"/>
  <c r="O20" i="9"/>
  <c r="O19" i="9"/>
  <c r="AC87" i="4" l="1"/>
  <c r="AB63" i="4"/>
  <c r="AC60" i="4" s="1"/>
  <c r="AB55" i="4"/>
  <c r="AB82" i="4" s="1"/>
  <c r="AB83" i="4" s="1"/>
  <c r="AC79" i="4" s="1"/>
  <c r="R8" i="9"/>
  <c r="R7" i="10"/>
  <c r="R102" i="4"/>
  <c r="S48" i="4"/>
  <c r="S76" i="4" s="1"/>
  <c r="S93" i="4" s="1"/>
  <c r="S8" i="12" s="1"/>
  <c r="S49" i="4"/>
  <c r="AW12" i="10"/>
  <c r="AV13" i="10"/>
  <c r="R15" i="12"/>
  <c r="R101" i="4"/>
  <c r="P27" i="9"/>
  <c r="O11" i="12"/>
  <c r="O28" i="9"/>
  <c r="O12" i="12" s="1"/>
  <c r="P27" i="10"/>
  <c r="P28" i="10" s="1"/>
  <c r="R20" i="12"/>
  <c r="R6" i="12"/>
  <c r="AZ11" i="10"/>
  <c r="Q46" i="8"/>
  <c r="Q48" i="8" s="1"/>
  <c r="Q43" i="8"/>
  <c r="Q10" i="12" s="1"/>
  <c r="Q21" i="12" s="1"/>
  <c r="Q19" i="12"/>
  <c r="Q16" i="12"/>
  <c r="Q18" i="12" s="1"/>
  <c r="P25" i="9"/>
  <c r="P18" i="9"/>
  <c r="Q26" i="9" l="1"/>
  <c r="P6" i="10"/>
  <c r="P9" i="10" s="1"/>
  <c r="P14" i="10" s="1"/>
  <c r="P29" i="10" s="1"/>
  <c r="R18" i="10"/>
  <c r="R19" i="10" s="1"/>
  <c r="R22" i="10" s="1"/>
  <c r="R10" i="9"/>
  <c r="S98" i="4"/>
  <c r="S77" i="4"/>
  <c r="AX12" i="10"/>
  <c r="AW13" i="10"/>
  <c r="T46" i="4"/>
  <c r="S66" i="4"/>
  <c r="S7" i="12" s="1"/>
  <c r="R6" i="8"/>
  <c r="R8" i="8" s="1"/>
  <c r="R16" i="8" s="1"/>
  <c r="R105" i="4"/>
  <c r="AB56" i="4"/>
  <c r="AC53" i="4" s="1"/>
  <c r="BA11" i="10"/>
  <c r="P20" i="9"/>
  <c r="P19" i="9"/>
  <c r="AC81" i="4"/>
  <c r="AC62" i="4"/>
  <c r="AC88" i="4" s="1"/>
  <c r="AC89" i="4" s="1"/>
  <c r="AD85" i="4" s="1"/>
  <c r="Q49" i="8"/>
  <c r="Q50" i="8" s="1"/>
  <c r="Q6" i="9" l="1"/>
  <c r="Q11" i="9" s="1"/>
  <c r="Q51" i="8"/>
  <c r="Q26" i="10"/>
  <c r="AD87" i="4"/>
  <c r="P11" i="12"/>
  <c r="P28" i="9"/>
  <c r="P12" i="12" s="1"/>
  <c r="BB11" i="10"/>
  <c r="AC63" i="4"/>
  <c r="AD60" i="4" s="1"/>
  <c r="T73" i="4"/>
  <c r="S91" i="4"/>
  <c r="AY12" i="10"/>
  <c r="AX13" i="10"/>
  <c r="AC55" i="4"/>
  <c r="AC82" i="4" s="1"/>
  <c r="AC83" i="4" s="1"/>
  <c r="AD79" i="4" s="1"/>
  <c r="R42" i="8"/>
  <c r="R17" i="8"/>
  <c r="R9" i="12" s="1"/>
  <c r="T48" i="4"/>
  <c r="T76" i="4" s="1"/>
  <c r="T49" i="4" l="1"/>
  <c r="AC56" i="4"/>
  <c r="AD53" i="4" s="1"/>
  <c r="AD81" i="4"/>
  <c r="AZ12" i="10"/>
  <c r="AY13" i="10"/>
  <c r="S5" i="12"/>
  <c r="S15" i="12" s="1"/>
  <c r="S92" i="4"/>
  <c r="S97" i="4"/>
  <c r="S99" i="4" s="1"/>
  <c r="S96" i="4"/>
  <c r="T93" i="4"/>
  <c r="T8" i="12" s="1"/>
  <c r="T75" i="4"/>
  <c r="T77" i="4"/>
  <c r="AD62" i="4"/>
  <c r="AD88" i="4" s="1"/>
  <c r="AD89" i="4" s="1"/>
  <c r="AE85" i="4" s="1"/>
  <c r="R19" i="12"/>
  <c r="R16" i="12"/>
  <c r="R18" i="12" s="1"/>
  <c r="R46" i="8"/>
  <c r="R48" i="8" s="1"/>
  <c r="R43" i="8"/>
  <c r="R10" i="12" s="1"/>
  <c r="R21" i="12" s="1"/>
  <c r="BC11" i="10"/>
  <c r="Q27" i="10"/>
  <c r="Q28" i="10" s="1"/>
  <c r="Q25" i="9"/>
  <c r="Q27" i="9" s="1"/>
  <c r="Q18" i="9"/>
  <c r="AE87" i="4" l="1"/>
  <c r="BD11" i="10"/>
  <c r="S8" i="9"/>
  <c r="S7" i="10"/>
  <c r="S101" i="4"/>
  <c r="S100" i="4"/>
  <c r="S102" i="4" s="1"/>
  <c r="R49" i="8"/>
  <c r="R50" i="8" s="1"/>
  <c r="AD63" i="4"/>
  <c r="AE60" i="4" s="1"/>
  <c r="U73" i="4"/>
  <c r="T91" i="4"/>
  <c r="S20" i="12"/>
  <c r="S6" i="12"/>
  <c r="BA12" i="10"/>
  <c r="AZ13" i="10"/>
  <c r="Q20" i="9"/>
  <c r="Q19" i="9"/>
  <c r="U46" i="4"/>
  <c r="T66" i="4"/>
  <c r="T7" i="12" s="1"/>
  <c r="AD55" i="4"/>
  <c r="AD82" i="4" s="1"/>
  <c r="AD83" i="4" s="1"/>
  <c r="AE79" i="4" s="1"/>
  <c r="R26" i="9"/>
  <c r="Q6" i="10"/>
  <c r="Q9" i="10" s="1"/>
  <c r="Q14" i="10" s="1"/>
  <c r="Q29" i="10" s="1"/>
  <c r="R6" i="9" l="1"/>
  <c r="R11" i="9" s="1"/>
  <c r="R51" i="8"/>
  <c r="R26" i="10"/>
  <c r="S6" i="8"/>
  <c r="S8" i="8" s="1"/>
  <c r="S16" i="8" s="1"/>
  <c r="S105" i="4"/>
  <c r="AE89" i="4"/>
  <c r="AF85" i="4" s="1"/>
  <c r="U48" i="4"/>
  <c r="U76" i="4" s="1"/>
  <c r="Q11" i="12"/>
  <c r="Q28" i="9"/>
  <c r="Q12" i="12" s="1"/>
  <c r="U75" i="4"/>
  <c r="U77" i="4"/>
  <c r="U93" i="4"/>
  <c r="U8" i="12" s="1"/>
  <c r="S18" i="10"/>
  <c r="S19" i="10" s="1"/>
  <c r="S22" i="10" s="1"/>
  <c r="S10" i="9"/>
  <c r="T98" i="4"/>
  <c r="BE11" i="10"/>
  <c r="AD56" i="4"/>
  <c r="AE53" i="4" s="1"/>
  <c r="BB12" i="10"/>
  <c r="BA13" i="10"/>
  <c r="T5" i="12"/>
  <c r="T15" i="12" s="1"/>
  <c r="T92" i="4"/>
  <c r="T96" i="4"/>
  <c r="T97" i="4"/>
  <c r="T99" i="4" s="1"/>
  <c r="AE62" i="4"/>
  <c r="AE88" i="4" s="1"/>
  <c r="AE81" i="4"/>
  <c r="T20" i="12" l="1"/>
  <c r="T6" i="12"/>
  <c r="AE55" i="4"/>
  <c r="AE82" i="4" s="1"/>
  <c r="AE83" i="4" s="1"/>
  <c r="AF79" i="4" s="1"/>
  <c r="S42" i="8"/>
  <c r="S17" i="8"/>
  <c r="S9" i="12" s="1"/>
  <c r="BC12" i="10"/>
  <c r="BB13" i="10"/>
  <c r="R27" i="10"/>
  <c r="R28" i="10" s="1"/>
  <c r="T100" i="4"/>
  <c r="T102" i="4" s="1"/>
  <c r="T101" i="4"/>
  <c r="AE63" i="4"/>
  <c r="AF60" i="4" s="1"/>
  <c r="BF11" i="10"/>
  <c r="U91" i="4"/>
  <c r="V73" i="4"/>
  <c r="U49" i="4"/>
  <c r="AF87" i="4"/>
  <c r="T7" i="10"/>
  <c r="T8" i="9"/>
  <c r="R25" i="9"/>
  <c r="R27" i="9" s="1"/>
  <c r="R18" i="9"/>
  <c r="T6" i="8" l="1"/>
  <c r="T8" i="8" s="1"/>
  <c r="T16" i="8" s="1"/>
  <c r="T105" i="4"/>
  <c r="V75" i="4"/>
  <c r="BG11" i="10"/>
  <c r="T18" i="10"/>
  <c r="T19" i="10" s="1"/>
  <c r="T22" i="10" s="1"/>
  <c r="T10" i="9"/>
  <c r="U98" i="4"/>
  <c r="U5" i="12"/>
  <c r="U15" i="12" s="1"/>
  <c r="U96" i="4"/>
  <c r="U97" i="4"/>
  <c r="U99" i="4" s="1"/>
  <c r="U92" i="4"/>
  <c r="S43" i="8"/>
  <c r="S10" i="12" s="1"/>
  <c r="S21" i="12" s="1"/>
  <c r="S46" i="8"/>
  <c r="S48" i="8" s="1"/>
  <c r="S19" i="12"/>
  <c r="S16" i="12"/>
  <c r="S18" i="12" s="1"/>
  <c r="AF81" i="4"/>
  <c r="AF62" i="4"/>
  <c r="AF88" i="4" s="1"/>
  <c r="AF89" i="4" s="1"/>
  <c r="AG85" i="4" s="1"/>
  <c r="R20" i="9"/>
  <c r="R19" i="9"/>
  <c r="AE56" i="4"/>
  <c r="AF53" i="4" s="1"/>
  <c r="V46" i="4"/>
  <c r="U66" i="4"/>
  <c r="U7" i="12" s="1"/>
  <c r="BD12" i="10"/>
  <c r="BC13" i="10"/>
  <c r="R6" i="10"/>
  <c r="R9" i="10" s="1"/>
  <c r="R14" i="10" s="1"/>
  <c r="R29" i="10" s="1"/>
  <c r="S26" i="9"/>
  <c r="AG87" i="4" l="1"/>
  <c r="AF63" i="4"/>
  <c r="AG60" i="4" s="1"/>
  <c r="U7" i="10"/>
  <c r="U8" i="9"/>
  <c r="U20" i="12"/>
  <c r="U6" i="12"/>
  <c r="S49" i="8"/>
  <c r="S50" i="8" s="1"/>
  <c r="U101" i="4"/>
  <c r="U100" i="4"/>
  <c r="U102" i="4" s="1"/>
  <c r="BE12" i="10"/>
  <c r="BD13" i="10"/>
  <c r="T42" i="8"/>
  <c r="T17" i="8"/>
  <c r="T9" i="12" s="1"/>
  <c r="BH11" i="10"/>
  <c r="V48" i="4"/>
  <c r="V76" i="4" s="1"/>
  <c r="AF55" i="4"/>
  <c r="AF82" i="4" s="1"/>
  <c r="AF83" i="4" s="1"/>
  <c r="AG79" i="4" s="1"/>
  <c r="R11" i="12"/>
  <c r="R28" i="9"/>
  <c r="R12" i="12" s="1"/>
  <c r="U6" i="8" l="1"/>
  <c r="U8" i="8" s="1"/>
  <c r="U16" i="8" s="1"/>
  <c r="U105" i="4"/>
  <c r="S6" i="9"/>
  <c r="S11" i="9" s="1"/>
  <c r="S51" i="8"/>
  <c r="S26" i="10"/>
  <c r="T19" i="12"/>
  <c r="T16" i="12"/>
  <c r="T18" i="12" s="1"/>
  <c r="BF12" i="10"/>
  <c r="BE13" i="10"/>
  <c r="U18" i="10"/>
  <c r="U19" i="10" s="1"/>
  <c r="U22" i="10" s="1"/>
  <c r="U10" i="9"/>
  <c r="V98" i="4"/>
  <c r="V77" i="4"/>
  <c r="V93" i="4"/>
  <c r="V8" i="12" s="1"/>
  <c r="BI11" i="10"/>
  <c r="AF56" i="4"/>
  <c r="AG53" i="4" s="1"/>
  <c r="T46" i="8"/>
  <c r="T48" i="8" s="1"/>
  <c r="T43" i="8"/>
  <c r="T10" i="12" s="1"/>
  <c r="T21" i="12" s="1"/>
  <c r="AG81" i="4"/>
  <c r="AG62" i="4"/>
  <c r="AG88" i="4" s="1"/>
  <c r="AG89" i="4" s="1"/>
  <c r="AH85" i="4" s="1"/>
  <c r="V49" i="4"/>
  <c r="AH87" i="4" l="1"/>
  <c r="AG63" i="4"/>
  <c r="AH60" i="4" s="1"/>
  <c r="BJ11" i="10"/>
  <c r="AG55" i="4"/>
  <c r="AG82" i="4" s="1"/>
  <c r="AG83" i="4" s="1"/>
  <c r="AH79" i="4" s="1"/>
  <c r="V91" i="4"/>
  <c r="W73" i="4"/>
  <c r="BG12" i="10"/>
  <c r="BF13" i="10"/>
  <c r="T49" i="8"/>
  <c r="T50" i="8" s="1"/>
  <c r="S27" i="10"/>
  <c r="S28" i="10" s="1"/>
  <c r="S25" i="9"/>
  <c r="S27" i="9" s="1"/>
  <c r="S18" i="9"/>
  <c r="W46" i="4"/>
  <c r="V66" i="4"/>
  <c r="V7" i="12" s="1"/>
  <c r="U42" i="8"/>
  <c r="U17" i="8"/>
  <c r="U9" i="12" s="1"/>
  <c r="T6" i="9" l="1"/>
  <c r="T11" i="9" s="1"/>
  <c r="T51" i="8"/>
  <c r="T26" i="10"/>
  <c r="U16" i="12"/>
  <c r="U18" i="12" s="1"/>
  <c r="U19" i="12"/>
  <c r="U46" i="8"/>
  <c r="U48" i="8" s="1"/>
  <c r="U43" i="8"/>
  <c r="U10" i="12" s="1"/>
  <c r="U21" i="12" s="1"/>
  <c r="S6" i="10"/>
  <c r="S9" i="10" s="1"/>
  <c r="S14" i="10" s="1"/>
  <c r="S29" i="10" s="1"/>
  <c r="T26" i="9"/>
  <c r="W48" i="4"/>
  <c r="W76" i="4" s="1"/>
  <c r="BH12" i="10"/>
  <c r="BG13" i="10"/>
  <c r="V5" i="12"/>
  <c r="V15" i="12" s="1"/>
  <c r="V97" i="4"/>
  <c r="V99" i="4" s="1"/>
  <c r="V96" i="4"/>
  <c r="V92" i="4"/>
  <c r="AH81" i="4"/>
  <c r="S20" i="9"/>
  <c r="S19" i="9"/>
  <c r="W75" i="4"/>
  <c r="W93" i="4"/>
  <c r="W8" i="12" s="1"/>
  <c r="W77" i="4"/>
  <c r="AG56" i="4"/>
  <c r="AH53" i="4" s="1"/>
  <c r="AH62" i="4"/>
  <c r="AH88" i="4" s="1"/>
  <c r="AH89" i="4" s="1"/>
  <c r="AI85" i="4" s="1"/>
  <c r="V20" i="12" l="1"/>
  <c r="V6" i="12"/>
  <c r="BI12" i="10"/>
  <c r="BH13" i="10"/>
  <c r="V100" i="4"/>
  <c r="V101" i="4" s="1"/>
  <c r="AH63" i="4"/>
  <c r="AI60" i="4" s="1"/>
  <c r="S11" i="12"/>
  <c r="S28" i="9"/>
  <c r="S12" i="12" s="1"/>
  <c r="V7" i="10"/>
  <c r="V8" i="9"/>
  <c r="V102" i="4"/>
  <c r="AI87" i="4"/>
  <c r="X73" i="4"/>
  <c r="W91" i="4"/>
  <c r="W49" i="4"/>
  <c r="T27" i="9"/>
  <c r="U49" i="8"/>
  <c r="U50" i="8" s="1"/>
  <c r="T27" i="10"/>
  <c r="T28" i="10" s="1"/>
  <c r="AH55" i="4"/>
  <c r="AH82" i="4" s="1"/>
  <c r="AH83" i="4" s="1"/>
  <c r="AI79" i="4" s="1"/>
  <c r="T25" i="9"/>
  <c r="T18" i="9"/>
  <c r="U51" i="8" l="1"/>
  <c r="U6" i="9"/>
  <c r="U11" i="9" s="1"/>
  <c r="U26" i="10"/>
  <c r="AI81" i="4"/>
  <c r="V18" i="10"/>
  <c r="V19" i="10" s="1"/>
  <c r="V22" i="10" s="1"/>
  <c r="V10" i="9"/>
  <c r="W98" i="4"/>
  <c r="W66" i="4"/>
  <c r="W7" i="12" s="1"/>
  <c r="X46" i="4"/>
  <c r="W5" i="12"/>
  <c r="W97" i="4"/>
  <c r="W99" i="4" s="1"/>
  <c r="W92" i="4"/>
  <c r="W96" i="4"/>
  <c r="X75" i="4"/>
  <c r="V6" i="8"/>
  <c r="V8" i="8" s="1"/>
  <c r="V16" i="8" s="1"/>
  <c r="V105" i="4"/>
  <c r="AI62" i="4"/>
  <c r="AI88" i="4" s="1"/>
  <c r="AI89" i="4" s="1"/>
  <c r="AJ85" i="4" s="1"/>
  <c r="BJ12" i="10"/>
  <c r="BJ13" i="10" s="1"/>
  <c r="BI13" i="10"/>
  <c r="T20" i="9"/>
  <c r="T19" i="9"/>
  <c r="T6" i="10"/>
  <c r="T9" i="10" s="1"/>
  <c r="T14" i="10" s="1"/>
  <c r="T29" i="10" s="1"/>
  <c r="U26" i="9"/>
  <c r="AH56" i="4"/>
  <c r="AI53" i="4" s="1"/>
  <c r="AI63" i="4" l="1"/>
  <c r="AJ60" i="4" s="1"/>
  <c r="V42" i="8"/>
  <c r="V17" i="8"/>
  <c r="V9" i="12" s="1"/>
  <c r="W7" i="10"/>
  <c r="W8" i="9"/>
  <c r="AI55" i="4"/>
  <c r="AI82" i="4" s="1"/>
  <c r="AI83" i="4" s="1"/>
  <c r="AJ79" i="4" s="1"/>
  <c r="AJ87" i="4"/>
  <c r="W100" i="4"/>
  <c r="W102" i="4" s="1"/>
  <c r="W101" i="4"/>
  <c r="U27" i="10"/>
  <c r="U28" i="10" s="1"/>
  <c r="W15" i="12"/>
  <c r="U25" i="9"/>
  <c r="U18" i="9"/>
  <c r="W20" i="12"/>
  <c r="W6" i="12"/>
  <c r="X48" i="4"/>
  <c r="X76" i="4" s="1"/>
  <c r="U27" i="9"/>
  <c r="T11" i="12"/>
  <c r="T28" i="9"/>
  <c r="T12" i="12" s="1"/>
  <c r="W6" i="8" l="1"/>
  <c r="W8" i="8" s="1"/>
  <c r="W16" i="8" s="1"/>
  <c r="W105" i="4"/>
  <c r="X49" i="4"/>
  <c r="X93" i="4"/>
  <c r="X8" i="12" s="1"/>
  <c r="X77" i="4"/>
  <c r="U20" i="9"/>
  <c r="U19" i="9"/>
  <c r="AJ81" i="4"/>
  <c r="W18" i="10"/>
  <c r="W19" i="10" s="1"/>
  <c r="W22" i="10" s="1"/>
  <c r="W10" i="9"/>
  <c r="X98" i="4"/>
  <c r="V46" i="8"/>
  <c r="V48" i="8" s="1"/>
  <c r="V43" i="8"/>
  <c r="V10" i="12" s="1"/>
  <c r="V21" i="12" s="1"/>
  <c r="U6" i="10"/>
  <c r="U9" i="10" s="1"/>
  <c r="U14" i="10" s="1"/>
  <c r="U29" i="10" s="1"/>
  <c r="V26" i="9"/>
  <c r="AI56" i="4"/>
  <c r="AJ53" i="4" s="1"/>
  <c r="V19" i="12"/>
  <c r="V16" i="12"/>
  <c r="V18" i="12" s="1"/>
  <c r="AJ62" i="4"/>
  <c r="AJ88" i="4" s="1"/>
  <c r="AJ89" i="4" s="1"/>
  <c r="AK85" i="4" s="1"/>
  <c r="AJ63" i="4" l="1"/>
  <c r="AK60" i="4" s="1"/>
  <c r="AK87" i="4"/>
  <c r="V49" i="8"/>
  <c r="V50" i="8"/>
  <c r="U11" i="12"/>
  <c r="U28" i="9"/>
  <c r="U12" i="12" s="1"/>
  <c r="Y73" i="4"/>
  <c r="X91" i="4"/>
  <c r="AJ55" i="4"/>
  <c r="AJ82" i="4" s="1"/>
  <c r="AJ83" i="4" s="1"/>
  <c r="AK79" i="4" s="1"/>
  <c r="X66" i="4"/>
  <c r="X7" i="12" s="1"/>
  <c r="Y46" i="4"/>
  <c r="W42" i="8"/>
  <c r="W17" i="8"/>
  <c r="W9" i="12" s="1"/>
  <c r="Y48" i="4" l="1"/>
  <c r="Y76" i="4" s="1"/>
  <c r="Y49" i="4"/>
  <c r="W46" i="8"/>
  <c r="W48" i="8" s="1"/>
  <c r="W43" i="8"/>
  <c r="W10" i="12" s="1"/>
  <c r="W21" i="12" s="1"/>
  <c r="V51" i="8"/>
  <c r="V6" i="9"/>
  <c r="V11" i="9" s="1"/>
  <c r="V26" i="10"/>
  <c r="W16" i="12"/>
  <c r="W18" i="12" s="1"/>
  <c r="W19" i="12"/>
  <c r="AK81" i="4"/>
  <c r="AJ56" i="4"/>
  <c r="AK53" i="4" s="1"/>
  <c r="X5" i="12"/>
  <c r="X15" i="12" s="1"/>
  <c r="X97" i="4"/>
  <c r="X99" i="4" s="1"/>
  <c r="X92" i="4"/>
  <c r="X96" i="4"/>
  <c r="Y75" i="4"/>
  <c r="Y93" i="4" s="1"/>
  <c r="Y8" i="12" s="1"/>
  <c r="Y77" i="4"/>
  <c r="AK62" i="4"/>
  <c r="AK88" i="4" s="1"/>
  <c r="AK89" i="4" s="1"/>
  <c r="AL85" i="4" s="1"/>
  <c r="Y91" i="4" l="1"/>
  <c r="Z73" i="4"/>
  <c r="AK63" i="4"/>
  <c r="AL60" i="4" s="1"/>
  <c r="V18" i="9"/>
  <c r="V25" i="9"/>
  <c r="V27" i="9" s="1"/>
  <c r="AL87" i="4"/>
  <c r="X7" i="10"/>
  <c r="X8" i="9"/>
  <c r="X20" i="12"/>
  <c r="X6" i="12"/>
  <c r="X101" i="4"/>
  <c r="X100" i="4"/>
  <c r="X102" i="4" s="1"/>
  <c r="AK55" i="4"/>
  <c r="AK82" i="4" s="1"/>
  <c r="AK83" i="4" s="1"/>
  <c r="AL79" i="4" s="1"/>
  <c r="Y66" i="4"/>
  <c r="Y7" i="12" s="1"/>
  <c r="Z46" i="4"/>
  <c r="V27" i="10"/>
  <c r="V28" i="10" s="1"/>
  <c r="W49" i="8"/>
  <c r="W50" i="8" s="1"/>
  <c r="W51" i="8" l="1"/>
  <c r="W6" i="9"/>
  <c r="W11" i="9" s="1"/>
  <c r="W26" i="10"/>
  <c r="X6" i="8"/>
  <c r="X8" i="8" s="1"/>
  <c r="X16" i="8" s="1"/>
  <c r="X105" i="4"/>
  <c r="Z48" i="4"/>
  <c r="Z76" i="4" s="1"/>
  <c r="AL81" i="4"/>
  <c r="AK56" i="4"/>
  <c r="AL53" i="4" s="1"/>
  <c r="V6" i="10"/>
  <c r="V9" i="10" s="1"/>
  <c r="V14" i="10" s="1"/>
  <c r="V29" i="10" s="1"/>
  <c r="W26" i="9"/>
  <c r="Z75" i="4"/>
  <c r="Z93" i="4" s="1"/>
  <c r="Z8" i="12" s="1"/>
  <c r="Z77" i="4"/>
  <c r="X18" i="10"/>
  <c r="X19" i="10" s="1"/>
  <c r="X22" i="10" s="1"/>
  <c r="X10" i="9"/>
  <c r="Y98" i="4"/>
  <c r="V20" i="9"/>
  <c r="V19" i="9"/>
  <c r="AL62" i="4"/>
  <c r="AL88" i="4" s="1"/>
  <c r="AL89" i="4" s="1"/>
  <c r="Y5" i="12"/>
  <c r="Y15" i="12" s="1"/>
  <c r="Y97" i="4"/>
  <c r="Y99" i="4" s="1"/>
  <c r="Y92" i="4"/>
  <c r="Y96" i="4"/>
  <c r="V11" i="12" l="1"/>
  <c r="V28" i="9"/>
  <c r="V12" i="12" s="1"/>
  <c r="Y100" i="4"/>
  <c r="Y102" i="4" s="1"/>
  <c r="Y101" i="4"/>
  <c r="AA73" i="4"/>
  <c r="BL77" i="4"/>
  <c r="Z91" i="4"/>
  <c r="AL55" i="4"/>
  <c r="AL82" i="4" s="1"/>
  <c r="AL83" i="4" s="1"/>
  <c r="BM89" i="4"/>
  <c r="AM85" i="4"/>
  <c r="Z49" i="4"/>
  <c r="W27" i="10"/>
  <c r="W28" i="10" s="1"/>
  <c r="AL63" i="4"/>
  <c r="W18" i="9"/>
  <c r="W25" i="9"/>
  <c r="W27" i="9" s="1"/>
  <c r="X42" i="8"/>
  <c r="X17" i="8"/>
  <c r="X9" i="12" s="1"/>
  <c r="Y8" i="9"/>
  <c r="Y7" i="10"/>
  <c r="Y20" i="12"/>
  <c r="Y6" i="12"/>
  <c r="AM79" i="4" l="1"/>
  <c r="BM83" i="4"/>
  <c r="W6" i="10"/>
  <c r="W9" i="10" s="1"/>
  <c r="W14" i="10" s="1"/>
  <c r="W29" i="10" s="1"/>
  <c r="X26" i="9"/>
  <c r="Y6" i="8"/>
  <c r="Y8" i="8" s="1"/>
  <c r="Y16" i="8" s="1"/>
  <c r="Y105" i="4"/>
  <c r="X16" i="12"/>
  <c r="X18" i="12" s="1"/>
  <c r="X19" i="12"/>
  <c r="W19" i="9"/>
  <c r="W20" i="9"/>
  <c r="X43" i="8"/>
  <c r="X10" i="12" s="1"/>
  <c r="X21" i="12" s="1"/>
  <c r="X46" i="8"/>
  <c r="X48" i="8" s="1"/>
  <c r="BM63" i="4"/>
  <c r="AM60" i="4"/>
  <c r="Z66" i="4"/>
  <c r="AA46" i="4"/>
  <c r="BL49" i="4"/>
  <c r="AM87" i="4"/>
  <c r="Y10" i="9"/>
  <c r="Y18" i="10"/>
  <c r="Y19" i="10" s="1"/>
  <c r="Y22" i="10" s="1"/>
  <c r="Z98" i="4"/>
  <c r="AL56" i="4"/>
  <c r="Z5" i="12"/>
  <c r="Z92" i="4"/>
  <c r="BL91" i="4"/>
  <c r="Z97" i="4"/>
  <c r="Z99" i="4" s="1"/>
  <c r="Z96" i="4"/>
  <c r="AA75" i="4"/>
  <c r="AA48" i="4" l="1"/>
  <c r="AA76" i="4" s="1"/>
  <c r="AA77" i="4" s="1"/>
  <c r="AM53" i="4"/>
  <c r="BM56" i="4"/>
  <c r="Z100" i="4"/>
  <c r="Z101" i="4"/>
  <c r="X49" i="8"/>
  <c r="X50" i="8"/>
  <c r="W11" i="12"/>
  <c r="W28" i="9"/>
  <c r="W12" i="12" s="1"/>
  <c r="Y42" i="8"/>
  <c r="Y17" i="8"/>
  <c r="Y9" i="12" s="1"/>
  <c r="Z7" i="12"/>
  <c r="BL7" i="12" s="1"/>
  <c r="BL66" i="4"/>
  <c r="Z8" i="9"/>
  <c r="Z7" i="10"/>
  <c r="BL7" i="10" s="1"/>
  <c r="D45" i="11" s="1"/>
  <c r="Z102" i="4"/>
  <c r="Z15" i="12"/>
  <c r="BL5" i="12"/>
  <c r="AM62" i="4"/>
  <c r="AM88" i="4" s="1"/>
  <c r="AM89" i="4" s="1"/>
  <c r="AN85" i="4" s="1"/>
  <c r="Z20" i="12"/>
  <c r="Z6" i="12"/>
  <c r="BL6" i="12" s="1"/>
  <c r="BL92" i="4"/>
  <c r="AM81" i="4"/>
  <c r="AN87" i="4" l="1"/>
  <c r="Z6" i="8"/>
  <c r="Z8" i="8" s="1"/>
  <c r="Z16" i="8" s="1"/>
  <c r="Z105" i="4"/>
  <c r="X51" i="8"/>
  <c r="X6" i="9"/>
  <c r="X11" i="9" s="1"/>
  <c r="X26" i="10"/>
  <c r="Z18" i="10"/>
  <c r="Z10" i="9"/>
  <c r="AA98" i="4"/>
  <c r="BL101" i="4"/>
  <c r="Y16" i="12"/>
  <c r="Y18" i="12" s="1"/>
  <c r="Y19" i="12"/>
  <c r="Y46" i="8"/>
  <c r="Y48" i="8" s="1"/>
  <c r="Y43" i="8"/>
  <c r="Y10" i="12" s="1"/>
  <c r="Y21" i="12" s="1"/>
  <c r="AA91" i="4"/>
  <c r="AB73" i="4"/>
  <c r="AA49" i="4"/>
  <c r="AM55" i="4"/>
  <c r="AM82" i="4" s="1"/>
  <c r="AM83" i="4" s="1"/>
  <c r="AN79" i="4" s="1"/>
  <c r="AA93" i="4"/>
  <c r="AA8" i="12" s="1"/>
  <c r="AM63" i="4"/>
  <c r="AN60" i="4" s="1"/>
  <c r="AN81" i="4" l="1"/>
  <c r="AM56" i="4"/>
  <c r="AN53" i="4" s="1"/>
  <c r="AA66" i="4"/>
  <c r="AA7" i="12" s="1"/>
  <c r="AB46" i="4"/>
  <c r="AB75" i="4"/>
  <c r="AA5" i="12"/>
  <c r="AA15" i="12" s="1"/>
  <c r="AA97" i="4"/>
  <c r="AA99" i="4" s="1"/>
  <c r="AA96" i="4"/>
  <c r="AA92" i="4"/>
  <c r="Y49" i="8"/>
  <c r="Y50" i="8"/>
  <c r="BL18" i="10"/>
  <c r="D52" i="11" s="1"/>
  <c r="Z19" i="10"/>
  <c r="X18" i="9"/>
  <c r="X25" i="9"/>
  <c r="X27" i="9" s="1"/>
  <c r="Y26" i="10"/>
  <c r="X27" i="10"/>
  <c r="X28" i="10" s="1"/>
  <c r="Z42" i="8"/>
  <c r="Z17" i="8"/>
  <c r="Z9" i="12" s="1"/>
  <c r="AN62" i="4"/>
  <c r="AN88" i="4" s="1"/>
  <c r="AN89" i="4" s="1"/>
  <c r="AO85" i="4" s="1"/>
  <c r="Z43" i="8" l="1"/>
  <c r="Z10" i="12" s="1"/>
  <c r="Z21" i="12" s="1"/>
  <c r="Z46" i="8"/>
  <c r="Z48" i="8" s="1"/>
  <c r="Z16" i="12"/>
  <c r="Z18" i="12" s="1"/>
  <c r="Z19" i="12"/>
  <c r="X6" i="10"/>
  <c r="X9" i="10" s="1"/>
  <c r="X14" i="10" s="1"/>
  <c r="X29" i="10" s="1"/>
  <c r="Y26" i="9"/>
  <c r="AA100" i="4"/>
  <c r="AA101" i="4" s="1"/>
  <c r="Y27" i="10"/>
  <c r="Y28" i="10" s="1"/>
  <c r="AA20" i="12"/>
  <c r="AA6" i="12"/>
  <c r="Y51" i="8"/>
  <c r="Y6" i="9"/>
  <c r="Y11" i="9" s="1"/>
  <c r="X19" i="9"/>
  <c r="X20" i="9"/>
  <c r="Z22" i="10"/>
  <c r="BL19" i="10"/>
  <c r="D53" i="11" s="1"/>
  <c r="AA8" i="9"/>
  <c r="AA7" i="10"/>
  <c r="AA102" i="4"/>
  <c r="AN55" i="4"/>
  <c r="AN82" i="4" s="1"/>
  <c r="AN83" i="4" s="1"/>
  <c r="AO79" i="4" s="1"/>
  <c r="AB48" i="4"/>
  <c r="AB76" i="4" s="1"/>
  <c r="AO87" i="4"/>
  <c r="AN63" i="4"/>
  <c r="AO60" i="4" s="1"/>
  <c r="AO81" i="4" l="1"/>
  <c r="AA10" i="9"/>
  <c r="AA18" i="10"/>
  <c r="AA19" i="10" s="1"/>
  <c r="AA22" i="10" s="1"/>
  <c r="AB98" i="4"/>
  <c r="BL22" i="10"/>
  <c r="D55" i="11" s="1"/>
  <c r="X11" i="12"/>
  <c r="X28" i="9"/>
  <c r="X12" i="12" s="1"/>
  <c r="AA6" i="8"/>
  <c r="AA8" i="8" s="1"/>
  <c r="AA16" i="8" s="1"/>
  <c r="AA105" i="4"/>
  <c r="Y25" i="9"/>
  <c r="Y27" i="9" s="1"/>
  <c r="Y18" i="9"/>
  <c r="AB49" i="4"/>
  <c r="AO62" i="4"/>
  <c r="AO88" i="4" s="1"/>
  <c r="AO89" i="4" s="1"/>
  <c r="AP85" i="4" s="1"/>
  <c r="AB93" i="4"/>
  <c r="AB8" i="12" s="1"/>
  <c r="AB77" i="4"/>
  <c r="Z49" i="8"/>
  <c r="Z50" i="8" s="1"/>
  <c r="AN56" i="4"/>
  <c r="AO53" i="4" s="1"/>
  <c r="Z51" i="8" l="1"/>
  <c r="Z6" i="9"/>
  <c r="Z11" i="9" s="1"/>
  <c r="Z26" i="10"/>
  <c r="Y6" i="10"/>
  <c r="Y9" i="10" s="1"/>
  <c r="Y14" i="10" s="1"/>
  <c r="Y29" i="10" s="1"/>
  <c r="Z26" i="9"/>
  <c r="AO83" i="4"/>
  <c r="AP79" i="4" s="1"/>
  <c r="AO55" i="4"/>
  <c r="AO82" i="4" s="1"/>
  <c r="AO56" i="4"/>
  <c r="AP53" i="4" s="1"/>
  <c r="AP87" i="4"/>
  <c r="AB66" i="4"/>
  <c r="AB7" i="12" s="1"/>
  <c r="AC46" i="4"/>
  <c r="AC73" i="4"/>
  <c r="AB91" i="4"/>
  <c r="AO63" i="4"/>
  <c r="AP60" i="4" s="1"/>
  <c r="Y19" i="9"/>
  <c r="Y20" i="9"/>
  <c r="AA17" i="8"/>
  <c r="AA9" i="12" s="1"/>
  <c r="AA42" i="8"/>
  <c r="AA43" i="8" l="1"/>
  <c r="AA10" i="12" s="1"/>
  <c r="AA21" i="12" s="1"/>
  <c r="AA46" i="8"/>
  <c r="AA48" i="8" s="1"/>
  <c r="AB5" i="12"/>
  <c r="AB15" i="12" s="1"/>
  <c r="AB96" i="4"/>
  <c r="AB92" i="4"/>
  <c r="AB97" i="4"/>
  <c r="AB99" i="4" s="1"/>
  <c r="AC48" i="4"/>
  <c r="AC76" i="4" s="1"/>
  <c r="AC93" i="4" s="1"/>
  <c r="AC8" i="12" s="1"/>
  <c r="Y11" i="12"/>
  <c r="Y28" i="9"/>
  <c r="Y12" i="12" s="1"/>
  <c r="AP63" i="4"/>
  <c r="AQ60" i="4" s="1"/>
  <c r="AP62" i="4"/>
  <c r="AP88" i="4" s="1"/>
  <c r="AP89" i="4" s="1"/>
  <c r="AQ85" i="4" s="1"/>
  <c r="AC75" i="4"/>
  <c r="AC77" i="4"/>
  <c r="AP81" i="4"/>
  <c r="AP83" i="4" s="1"/>
  <c r="AQ79" i="4" s="1"/>
  <c r="AP55" i="4"/>
  <c r="AP82" i="4" s="1"/>
  <c r="Z25" i="9"/>
  <c r="Z27" i="9" s="1"/>
  <c r="Z18" i="9"/>
  <c r="AA16" i="12"/>
  <c r="AA18" i="12" s="1"/>
  <c r="AA19" i="12"/>
  <c r="BL26" i="10"/>
  <c r="Z27" i="10"/>
  <c r="BL27" i="9" l="1"/>
  <c r="D39" i="11" s="1"/>
  <c r="Z6" i="10"/>
  <c r="AA26" i="9"/>
  <c r="AQ87" i="4"/>
  <c r="AQ81" i="4"/>
  <c r="Z19" i="9"/>
  <c r="Z20" i="9"/>
  <c r="AC91" i="4"/>
  <c r="AD73" i="4"/>
  <c r="AQ63" i="4"/>
  <c r="AR60" i="4" s="1"/>
  <c r="AQ62" i="4"/>
  <c r="AQ88" i="4" s="1"/>
  <c r="AQ89" i="4" s="1"/>
  <c r="AR85" i="4" s="1"/>
  <c r="AP56" i="4"/>
  <c r="AQ53" i="4" s="1"/>
  <c r="AB7" i="10"/>
  <c r="AB8" i="9"/>
  <c r="AB102" i="4"/>
  <c r="AB101" i="4"/>
  <c r="AB100" i="4"/>
  <c r="BL27" i="10"/>
  <c r="D58" i="11" s="1"/>
  <c r="Z28" i="10"/>
  <c r="BL28" i="10" s="1"/>
  <c r="D59" i="11" s="1"/>
  <c r="AA49" i="8"/>
  <c r="AA50" i="8" s="1"/>
  <c r="AC49" i="4"/>
  <c r="AB20" i="12"/>
  <c r="AB6" i="12"/>
  <c r="AR87" i="4" l="1"/>
  <c r="AR89" i="4" s="1"/>
  <c r="AS85" i="4" s="1"/>
  <c r="AA51" i="8"/>
  <c r="AA6" i="9"/>
  <c r="AA11" i="9" s="1"/>
  <c r="AA26" i="10"/>
  <c r="AQ55" i="4"/>
  <c r="AQ82" i="4" s="1"/>
  <c r="AQ83" i="4" s="1"/>
  <c r="AR79" i="4" s="1"/>
  <c r="AR62" i="4"/>
  <c r="AR88" i="4" s="1"/>
  <c r="AB6" i="8"/>
  <c r="AB8" i="8" s="1"/>
  <c r="AB16" i="8" s="1"/>
  <c r="AB105" i="4"/>
  <c r="AD75" i="4"/>
  <c r="AB18" i="10"/>
  <c r="AB19" i="10" s="1"/>
  <c r="AB22" i="10" s="1"/>
  <c r="AB10" i="9"/>
  <c r="AC98" i="4"/>
  <c r="AC5" i="12"/>
  <c r="AC15" i="12" s="1"/>
  <c r="AC92" i="4"/>
  <c r="AC97" i="4"/>
  <c r="AC99" i="4" s="1"/>
  <c r="AC96" i="4"/>
  <c r="Z11" i="12"/>
  <c r="Z28" i="9"/>
  <c r="AC66" i="4"/>
  <c r="AC7" i="12" s="1"/>
  <c r="AD46" i="4"/>
  <c r="Z9" i="10"/>
  <c r="BL6" i="10"/>
  <c r="D44" i="11" s="1"/>
  <c r="AR81" i="4" l="1"/>
  <c r="AS87" i="4"/>
  <c r="AC100" i="4"/>
  <c r="AC101" i="4" s="1"/>
  <c r="AB17" i="8"/>
  <c r="AB9" i="12" s="1"/>
  <c r="AB42" i="8"/>
  <c r="BL9" i="10"/>
  <c r="D46" i="11" s="1"/>
  <c r="Z14" i="10"/>
  <c r="AC7" i="10"/>
  <c r="AC8" i="9"/>
  <c r="AC102" i="4"/>
  <c r="AC20" i="12"/>
  <c r="AC6" i="12"/>
  <c r="AA27" i="10"/>
  <c r="AA28" i="10" s="1"/>
  <c r="AR63" i="4"/>
  <c r="AS60" i="4" s="1"/>
  <c r="AQ56" i="4"/>
  <c r="AR53" i="4" s="1"/>
  <c r="AA18" i="9"/>
  <c r="AA25" i="9"/>
  <c r="AA27" i="9" s="1"/>
  <c r="AD48" i="4"/>
  <c r="AD76" i="4" s="1"/>
  <c r="AD77" i="4" s="1"/>
  <c r="Z12" i="12"/>
  <c r="BL12" i="12" s="1"/>
  <c r="BL28" i="9"/>
  <c r="D40" i="11" s="1"/>
  <c r="AC18" i="10" l="1"/>
  <c r="AC19" i="10" s="1"/>
  <c r="AC22" i="10" s="1"/>
  <c r="AC10" i="9"/>
  <c r="AD98" i="4"/>
  <c r="AS62" i="4"/>
  <c r="AS88" i="4" s="1"/>
  <c r="AS89" i="4" s="1"/>
  <c r="AT85" i="4" s="1"/>
  <c r="AB19" i="12"/>
  <c r="AB16" i="12"/>
  <c r="AB18" i="12" s="1"/>
  <c r="AC6" i="8"/>
  <c r="AC8" i="8" s="1"/>
  <c r="AC16" i="8" s="1"/>
  <c r="AC105" i="4"/>
  <c r="AD49" i="4"/>
  <c r="AA6" i="10"/>
  <c r="AA9" i="10" s="1"/>
  <c r="AA14" i="10" s="1"/>
  <c r="AA29" i="10" s="1"/>
  <c r="AB26" i="9"/>
  <c r="AR55" i="4"/>
  <c r="AR82" i="4" s="1"/>
  <c r="AR83" i="4" s="1"/>
  <c r="AS79" i="4" s="1"/>
  <c r="BL14" i="10"/>
  <c r="D48" i="11" s="1"/>
  <c r="Z29" i="10"/>
  <c r="BL29" i="10" s="1"/>
  <c r="D60" i="11" s="1"/>
  <c r="AB46" i="8"/>
  <c r="AB48" i="8" s="1"/>
  <c r="AB43" i="8"/>
  <c r="AB10" i="12" s="1"/>
  <c r="AB21" i="12" s="1"/>
  <c r="AE73" i="4"/>
  <c r="AD91" i="4"/>
  <c r="AD93" i="4"/>
  <c r="AD8" i="12" s="1"/>
  <c r="AA20" i="9"/>
  <c r="AA19" i="9"/>
  <c r="AT87" i="4" l="1"/>
  <c r="AA11" i="12"/>
  <c r="AA28" i="9"/>
  <c r="AA12" i="12" s="1"/>
  <c r="AD5" i="12"/>
  <c r="AD92" i="4"/>
  <c r="AD97" i="4"/>
  <c r="AD99" i="4" s="1"/>
  <c r="AD96" i="4"/>
  <c r="AS81" i="4"/>
  <c r="AE75" i="4"/>
  <c r="AB49" i="8"/>
  <c r="AB50" i="8" s="1"/>
  <c r="AR56" i="4"/>
  <c r="AS53" i="4" s="1"/>
  <c r="AC17" i="8"/>
  <c r="AC9" i="12" s="1"/>
  <c r="AC42" i="8"/>
  <c r="AD100" i="4"/>
  <c r="AD101" i="4" s="1"/>
  <c r="AS63" i="4"/>
  <c r="AT60" i="4" s="1"/>
  <c r="AE46" i="4"/>
  <c r="AD66" i="4"/>
  <c r="AD7" i="12" s="1"/>
  <c r="AB51" i="8" l="1"/>
  <c r="AB6" i="9"/>
  <c r="AB11" i="9" s="1"/>
  <c r="AB26" i="10"/>
  <c r="AD10" i="9"/>
  <c r="AD18" i="10"/>
  <c r="AD19" i="10" s="1"/>
  <c r="AD22" i="10" s="1"/>
  <c r="AE98" i="4"/>
  <c r="AT62" i="4"/>
  <c r="AT88" i="4" s="1"/>
  <c r="AT89" i="4" s="1"/>
  <c r="AU85" i="4" s="1"/>
  <c r="AS55" i="4"/>
  <c r="AS82" i="4" s="1"/>
  <c r="AS83" i="4" s="1"/>
  <c r="AT79" i="4" s="1"/>
  <c r="AC16" i="12"/>
  <c r="AC18" i="12" s="1"/>
  <c r="AC19" i="12"/>
  <c r="AD7" i="10"/>
  <c r="AD8" i="9"/>
  <c r="AD102" i="4"/>
  <c r="AE48" i="4"/>
  <c r="AE76" i="4" s="1"/>
  <c r="AE77" i="4" s="1"/>
  <c r="AC43" i="8"/>
  <c r="AC10" i="12" s="1"/>
  <c r="AC21" i="12" s="1"/>
  <c r="AC46" i="8"/>
  <c r="AC48" i="8" s="1"/>
  <c r="AE93" i="4"/>
  <c r="AE8" i="12" s="1"/>
  <c r="AD20" i="12"/>
  <c r="AD6" i="12"/>
  <c r="AD15" i="12"/>
  <c r="AF73" i="4" l="1"/>
  <c r="AE91" i="4"/>
  <c r="AU87" i="4"/>
  <c r="AC49" i="8"/>
  <c r="AC50" i="8"/>
  <c r="AD6" i="8"/>
  <c r="AD8" i="8" s="1"/>
  <c r="AD16" i="8" s="1"/>
  <c r="AD105" i="4"/>
  <c r="AS56" i="4"/>
  <c r="AT53" i="4" s="1"/>
  <c r="AT63" i="4"/>
  <c r="AU60" i="4" s="1"/>
  <c r="AC26" i="10"/>
  <c r="AB27" i="10"/>
  <c r="AB28" i="10" s="1"/>
  <c r="AT81" i="4"/>
  <c r="AB18" i="9"/>
  <c r="AB25" i="9"/>
  <c r="AB27" i="9" s="1"/>
  <c r="AE49" i="4"/>
  <c r="AC26" i="9" l="1"/>
  <c r="AB6" i="10"/>
  <c r="AB9" i="10" s="1"/>
  <c r="AB14" i="10" s="1"/>
  <c r="AB29" i="10" s="1"/>
  <c r="AB19" i="9"/>
  <c r="AB20" i="9"/>
  <c r="AC27" i="10"/>
  <c r="AC28" i="10" s="1"/>
  <c r="AT55" i="4"/>
  <c r="AT82" i="4" s="1"/>
  <c r="AT83" i="4" s="1"/>
  <c r="AU79" i="4" s="1"/>
  <c r="AC51" i="8"/>
  <c r="AC6" i="9"/>
  <c r="AC11" i="9" s="1"/>
  <c r="AE5" i="12"/>
  <c r="AE96" i="4"/>
  <c r="AE92" i="4"/>
  <c r="AE97" i="4"/>
  <c r="AE99" i="4" s="1"/>
  <c r="AF46" i="4"/>
  <c r="AE66" i="4"/>
  <c r="AE7" i="12" s="1"/>
  <c r="AU62" i="4"/>
  <c r="AU88" i="4" s="1"/>
  <c r="AU89" i="4" s="1"/>
  <c r="AV85" i="4" s="1"/>
  <c r="AD17" i="8"/>
  <c r="AD9" i="12" s="1"/>
  <c r="AD42" i="8"/>
  <c r="AF75" i="4"/>
  <c r="AV87" i="4" l="1"/>
  <c r="AU81" i="4"/>
  <c r="AD43" i="8"/>
  <c r="AD10" i="12" s="1"/>
  <c r="AD21" i="12" s="1"/>
  <c r="AD46" i="8"/>
  <c r="AD48" i="8" s="1"/>
  <c r="AE15" i="12"/>
  <c r="AU63" i="4"/>
  <c r="AV60" i="4" s="1"/>
  <c r="AF48" i="4"/>
  <c r="AF76" i="4" s="1"/>
  <c r="AE20" i="12"/>
  <c r="AE6" i="12"/>
  <c r="AD19" i="12"/>
  <c r="AD16" i="12"/>
  <c r="AD18" i="12" s="1"/>
  <c r="AE100" i="4"/>
  <c r="AE101" i="4" s="1"/>
  <c r="AE7" i="10"/>
  <c r="AE8" i="9"/>
  <c r="AC18" i="9"/>
  <c r="AC25" i="9"/>
  <c r="AC27" i="9" s="1"/>
  <c r="AB11" i="12"/>
  <c r="AB28" i="9"/>
  <c r="AB12" i="12" s="1"/>
  <c r="AT56" i="4"/>
  <c r="AU53" i="4" s="1"/>
  <c r="AC6" i="10" l="1"/>
  <c r="AC9" i="10" s="1"/>
  <c r="AC14" i="10" s="1"/>
  <c r="AC29" i="10" s="1"/>
  <c r="AD26" i="9"/>
  <c r="AE18" i="10"/>
  <c r="AE19" i="10" s="1"/>
  <c r="AE22" i="10" s="1"/>
  <c r="AE10" i="9"/>
  <c r="AF98" i="4"/>
  <c r="AC19" i="9"/>
  <c r="AC20" i="9"/>
  <c r="AE102" i="4"/>
  <c r="AD49" i="8"/>
  <c r="AD50" i="8"/>
  <c r="AF49" i="4"/>
  <c r="AF77" i="4"/>
  <c r="AF93" i="4"/>
  <c r="AF8" i="12" s="1"/>
  <c r="AV62" i="4"/>
  <c r="AV88" i="4" s="1"/>
  <c r="AV89" i="4" s="1"/>
  <c r="AW85" i="4" s="1"/>
  <c r="AU55" i="4"/>
  <c r="AU82" i="4" s="1"/>
  <c r="AU83" i="4" s="1"/>
  <c r="AV79" i="4" s="1"/>
  <c r="AV81" i="4" l="1"/>
  <c r="AW87" i="4"/>
  <c r="AV63" i="4"/>
  <c r="AW60" i="4" s="1"/>
  <c r="AD6" i="9"/>
  <c r="AD11" i="9" s="1"/>
  <c r="AD51" i="8"/>
  <c r="AD26" i="10"/>
  <c r="AU56" i="4"/>
  <c r="AV53" i="4" s="1"/>
  <c r="AG73" i="4"/>
  <c r="AF91" i="4"/>
  <c r="AG46" i="4"/>
  <c r="AF66" i="4"/>
  <c r="AF7" i="12" s="1"/>
  <c r="AE6" i="8"/>
  <c r="AE8" i="8" s="1"/>
  <c r="AE16" i="8" s="1"/>
  <c r="AE105" i="4"/>
  <c r="AC11" i="12"/>
  <c r="AC28" i="9"/>
  <c r="AC12" i="12" s="1"/>
  <c r="AG48" i="4" l="1"/>
  <c r="AG76" i="4" s="1"/>
  <c r="AE17" i="8"/>
  <c r="AE9" i="12" s="1"/>
  <c r="AE42" i="8"/>
  <c r="AD27" i="10"/>
  <c r="AD28" i="10" s="1"/>
  <c r="AF5" i="12"/>
  <c r="AF15" i="12" s="1"/>
  <c r="AF97" i="4"/>
  <c r="AF99" i="4" s="1"/>
  <c r="AF96" i="4"/>
  <c r="AF92" i="4"/>
  <c r="AV55" i="4"/>
  <c r="AV82" i="4" s="1"/>
  <c r="AV83" i="4" s="1"/>
  <c r="AW79" i="4" s="1"/>
  <c r="AG75" i="4"/>
  <c r="AG77" i="4" s="1"/>
  <c r="AG93" i="4"/>
  <c r="AG8" i="12" s="1"/>
  <c r="AD25" i="9"/>
  <c r="AD27" i="9" s="1"/>
  <c r="AD18" i="9"/>
  <c r="AW62" i="4"/>
  <c r="AW88" i="4" s="1"/>
  <c r="AW89" i="4" s="1"/>
  <c r="AX85" i="4" s="1"/>
  <c r="AX87" i="4" l="1"/>
  <c r="AH73" i="4"/>
  <c r="AG91" i="4"/>
  <c r="AE26" i="9"/>
  <c r="AD6" i="10"/>
  <c r="AD9" i="10" s="1"/>
  <c r="AD14" i="10" s="1"/>
  <c r="AD29" i="10" s="1"/>
  <c r="AV56" i="4"/>
  <c r="AW53" i="4" s="1"/>
  <c r="AW63" i="4"/>
  <c r="AX60" i="4" s="1"/>
  <c r="AF8" i="9"/>
  <c r="AF7" i="10"/>
  <c r="AF102" i="4"/>
  <c r="AF100" i="4"/>
  <c r="AF101" i="4"/>
  <c r="AW81" i="4"/>
  <c r="AF20" i="12"/>
  <c r="AF6" i="12"/>
  <c r="AE19" i="12"/>
  <c r="AE16" i="12"/>
  <c r="AE18" i="12" s="1"/>
  <c r="AG49" i="4"/>
  <c r="AD19" i="9"/>
  <c r="AD20" i="9"/>
  <c r="AE43" i="8"/>
  <c r="AE10" i="12" s="1"/>
  <c r="AE21" i="12" s="1"/>
  <c r="AE46" i="8"/>
  <c r="AE48" i="8" s="1"/>
  <c r="AF18" i="10" l="1"/>
  <c r="AF19" i="10" s="1"/>
  <c r="AF22" i="10" s="1"/>
  <c r="AG98" i="4"/>
  <c r="AF10" i="9"/>
  <c r="AD11" i="12"/>
  <c r="AD28" i="9"/>
  <c r="AD12" i="12" s="1"/>
  <c r="AW55" i="4"/>
  <c r="AW82" i="4" s="1"/>
  <c r="AW83" i="4" s="1"/>
  <c r="AX79" i="4" s="1"/>
  <c r="AF6" i="8"/>
  <c r="AF8" i="8" s="1"/>
  <c r="AF16" i="8" s="1"/>
  <c r="AF105" i="4"/>
  <c r="AE49" i="8"/>
  <c r="AE50" i="8"/>
  <c r="AH75" i="4"/>
  <c r="AH46" i="4"/>
  <c r="AG66" i="4"/>
  <c r="AG7" i="12" s="1"/>
  <c r="AX62" i="4"/>
  <c r="AX88" i="4" s="1"/>
  <c r="AX89" i="4" s="1"/>
  <c r="AY85" i="4" s="1"/>
  <c r="AG5" i="12"/>
  <c r="AG15" i="12" s="1"/>
  <c r="AG92" i="4"/>
  <c r="AG97" i="4"/>
  <c r="AG99" i="4" s="1"/>
  <c r="AG96" i="4"/>
  <c r="AY87" i="4" l="1"/>
  <c r="AG8" i="9"/>
  <c r="AG7" i="10"/>
  <c r="AX63" i="4"/>
  <c r="AY60" i="4" s="1"/>
  <c r="AH48" i="4"/>
  <c r="AH76" i="4" s="1"/>
  <c r="AH93" i="4" s="1"/>
  <c r="AH8" i="12" s="1"/>
  <c r="AX81" i="4"/>
  <c r="AE6" i="9"/>
  <c r="AE11" i="9" s="1"/>
  <c r="AE51" i="8"/>
  <c r="AE26" i="10"/>
  <c r="AW56" i="4"/>
  <c r="AX53" i="4" s="1"/>
  <c r="AG20" i="12"/>
  <c r="AG6" i="12"/>
  <c r="AF42" i="8"/>
  <c r="AF17" i="8"/>
  <c r="AF9" i="12" s="1"/>
  <c r="AG100" i="4"/>
  <c r="AG101" i="4" s="1"/>
  <c r="AG18" i="10" l="1"/>
  <c r="AG19" i="10" s="1"/>
  <c r="AG22" i="10" s="1"/>
  <c r="AH98" i="4"/>
  <c r="AG10" i="9"/>
  <c r="AF16" i="12"/>
  <c r="AF18" i="12" s="1"/>
  <c r="AF19" i="12"/>
  <c r="AF43" i="8"/>
  <c r="AF10" i="12" s="1"/>
  <c r="AF21" i="12" s="1"/>
  <c r="AF46" i="8"/>
  <c r="AF48" i="8" s="1"/>
  <c r="AE27" i="10"/>
  <c r="AE28" i="10" s="1"/>
  <c r="AE18" i="9"/>
  <c r="AE25" i="9"/>
  <c r="AE27" i="9" s="1"/>
  <c r="AH49" i="4"/>
  <c r="AY62" i="4"/>
  <c r="AY88" i="4" s="1"/>
  <c r="AY89" i="4" s="1"/>
  <c r="AZ85" i="4" s="1"/>
  <c r="AX55" i="4"/>
  <c r="AX82" i="4" s="1"/>
  <c r="AX83" i="4" s="1"/>
  <c r="AY79" i="4" s="1"/>
  <c r="AX56" i="4"/>
  <c r="AY53" i="4" s="1"/>
  <c r="AG102" i="4"/>
  <c r="AH77" i="4"/>
  <c r="AH91" i="4" l="1"/>
  <c r="AI73" i="4"/>
  <c r="AY55" i="4"/>
  <c r="AY82" i="4" s="1"/>
  <c r="AY56" i="4"/>
  <c r="AZ53" i="4" s="1"/>
  <c r="AE19" i="9"/>
  <c r="AE20" i="9"/>
  <c r="AY81" i="4"/>
  <c r="AY83" i="4" s="1"/>
  <c r="AZ79" i="4" s="1"/>
  <c r="AY63" i="4"/>
  <c r="AZ60" i="4" s="1"/>
  <c r="AI46" i="4"/>
  <c r="AH66" i="4"/>
  <c r="AH7" i="12" s="1"/>
  <c r="AZ87" i="4"/>
  <c r="AF49" i="8"/>
  <c r="AF50" i="8" s="1"/>
  <c r="AG6" i="8"/>
  <c r="AG8" i="8" s="1"/>
  <c r="AG16" i="8" s="1"/>
  <c r="AG105" i="4"/>
  <c r="AE6" i="10"/>
  <c r="AE9" i="10" s="1"/>
  <c r="AE14" i="10" s="1"/>
  <c r="AE29" i="10" s="1"/>
  <c r="AF26" i="9"/>
  <c r="AF6" i="9" l="1"/>
  <c r="AF11" i="9" s="1"/>
  <c r="AF51" i="8"/>
  <c r="AF26" i="10"/>
  <c r="AZ81" i="4"/>
  <c r="AZ83" i="4" s="1"/>
  <c r="BA79" i="4" s="1"/>
  <c r="AZ62" i="4"/>
  <c r="AZ88" i="4" s="1"/>
  <c r="AZ89" i="4" s="1"/>
  <c r="BA85" i="4" s="1"/>
  <c r="AZ55" i="4"/>
  <c r="AZ82" i="4" s="1"/>
  <c r="AI75" i="4"/>
  <c r="AI77" i="4" s="1"/>
  <c r="AG42" i="8"/>
  <c r="AG17" i="8"/>
  <c r="AG9" i="12" s="1"/>
  <c r="AI48" i="4"/>
  <c r="AI76" i="4" s="1"/>
  <c r="AI93" i="4" s="1"/>
  <c r="AI8" i="12" s="1"/>
  <c r="AE11" i="12"/>
  <c r="AE28" i="9"/>
  <c r="AE12" i="12" s="1"/>
  <c r="AH5" i="12"/>
  <c r="AH15" i="12" s="1"/>
  <c r="AH97" i="4"/>
  <c r="AH99" i="4" s="1"/>
  <c r="AH96" i="4"/>
  <c r="AH92" i="4"/>
  <c r="AI91" i="4" l="1"/>
  <c r="AJ73" i="4"/>
  <c r="BA81" i="4"/>
  <c r="AH8" i="9"/>
  <c r="AH7" i="10"/>
  <c r="AI49" i="4"/>
  <c r="BA87" i="4"/>
  <c r="AF27" i="10"/>
  <c r="AF28" i="10" s="1"/>
  <c r="AH20" i="12"/>
  <c r="AH6" i="12"/>
  <c r="AG16" i="12"/>
  <c r="AG18" i="12" s="1"/>
  <c r="AG19" i="12"/>
  <c r="AG43" i="8"/>
  <c r="AG10" i="12" s="1"/>
  <c r="AG21" i="12" s="1"/>
  <c r="AG46" i="8"/>
  <c r="AG48" i="8" s="1"/>
  <c r="AZ56" i="4"/>
  <c r="BA53" i="4" s="1"/>
  <c r="AZ63" i="4"/>
  <c r="BA60" i="4" s="1"/>
  <c r="AH100" i="4"/>
  <c r="AH101" i="4" s="1"/>
  <c r="AF25" i="9"/>
  <c r="AF27" i="9" s="1"/>
  <c r="AF18" i="9"/>
  <c r="AH10" i="9" l="1"/>
  <c r="AH18" i="10"/>
  <c r="AH19" i="10" s="1"/>
  <c r="AH22" i="10" s="1"/>
  <c r="AI98" i="4"/>
  <c r="BA62" i="4"/>
  <c r="BA88" i="4" s="1"/>
  <c r="BA89" i="4" s="1"/>
  <c r="BB85" i="4" s="1"/>
  <c r="BA63" i="4"/>
  <c r="BB60" i="4" s="1"/>
  <c r="BA55" i="4"/>
  <c r="BA82" i="4" s="1"/>
  <c r="BA83" i="4" s="1"/>
  <c r="BB79" i="4" s="1"/>
  <c r="AG49" i="8"/>
  <c r="AG50" i="8" s="1"/>
  <c r="AH102" i="4"/>
  <c r="AG26" i="9"/>
  <c r="AF6" i="10"/>
  <c r="AF9" i="10" s="1"/>
  <c r="AF14" i="10" s="1"/>
  <c r="AF29" i="10" s="1"/>
  <c r="AJ75" i="4"/>
  <c r="AI66" i="4"/>
  <c r="AI7" i="12" s="1"/>
  <c r="AJ46" i="4"/>
  <c r="AF20" i="9"/>
  <c r="AF19" i="9"/>
  <c r="AI5" i="12"/>
  <c r="AI15" i="12" s="1"/>
  <c r="AI97" i="4"/>
  <c r="AI99" i="4" s="1"/>
  <c r="AI96" i="4"/>
  <c r="AI92" i="4"/>
  <c r="AG6" i="9" l="1"/>
  <c r="AG11" i="9" s="1"/>
  <c r="AG51" i="8"/>
  <c r="AG26" i="10"/>
  <c r="BB87" i="4"/>
  <c r="BB89" i="4" s="1"/>
  <c r="BC85" i="4" s="1"/>
  <c r="AI20" i="12"/>
  <c r="AI6" i="12"/>
  <c r="AF11" i="12"/>
  <c r="AF28" i="9"/>
  <c r="AF12" i="12" s="1"/>
  <c r="AI8" i="9"/>
  <c r="AI7" i="10"/>
  <c r="AI102" i="4"/>
  <c r="AJ93" i="4"/>
  <c r="AJ8" i="12" s="1"/>
  <c r="BB81" i="4"/>
  <c r="AH6" i="8"/>
  <c r="AH8" i="8" s="1"/>
  <c r="AH16" i="8" s="1"/>
  <c r="AH105" i="4"/>
  <c r="BB62" i="4"/>
  <c r="BB88" i="4" s="1"/>
  <c r="BB63" i="4"/>
  <c r="BC60" i="4" s="1"/>
  <c r="AJ48" i="4"/>
  <c r="AJ76" i="4" s="1"/>
  <c r="AJ77" i="4" s="1"/>
  <c r="BA56" i="4"/>
  <c r="BB53" i="4" s="1"/>
  <c r="AI100" i="4"/>
  <c r="AI101" i="4"/>
  <c r="AJ91" i="4" l="1"/>
  <c r="AK73" i="4"/>
  <c r="BC87" i="4"/>
  <c r="BC89" i="4" s="1"/>
  <c r="BD85" i="4" s="1"/>
  <c r="BC62" i="4"/>
  <c r="BC88" i="4" s="1"/>
  <c r="BC63" i="4"/>
  <c r="BD60" i="4" s="1"/>
  <c r="BB55" i="4"/>
  <c r="BB82" i="4" s="1"/>
  <c r="BB83" i="4" s="1"/>
  <c r="BC79" i="4" s="1"/>
  <c r="AG27" i="10"/>
  <c r="AG28" i="10" s="1"/>
  <c r="AH17" i="8"/>
  <c r="AH9" i="12" s="1"/>
  <c r="AH42" i="8"/>
  <c r="AI6" i="8"/>
  <c r="AI8" i="8" s="1"/>
  <c r="AI16" i="8" s="1"/>
  <c r="AI105" i="4"/>
  <c r="AJ49" i="4"/>
  <c r="AI10" i="9"/>
  <c r="AI18" i="10"/>
  <c r="AI19" i="10" s="1"/>
  <c r="AI22" i="10" s="1"/>
  <c r="AJ98" i="4"/>
  <c r="AG18" i="9"/>
  <c r="AG25" i="9"/>
  <c r="AG27" i="9" s="1"/>
  <c r="BD87" i="4" l="1"/>
  <c r="BD89" i="4" s="1"/>
  <c r="BE85" i="4" s="1"/>
  <c r="AG20" i="9"/>
  <c r="AG19" i="9"/>
  <c r="AJ100" i="4"/>
  <c r="AJ101" i="4"/>
  <c r="AI42" i="8"/>
  <c r="AI17" i="8"/>
  <c r="AI9" i="12" s="1"/>
  <c r="AG6" i="10"/>
  <c r="AG9" i="10" s="1"/>
  <c r="AG14" i="10" s="1"/>
  <c r="AG29" i="10" s="1"/>
  <c r="AH26" i="9"/>
  <c r="AJ66" i="4"/>
  <c r="AJ7" i="12" s="1"/>
  <c r="AK46" i="4"/>
  <c r="AH43" i="8"/>
  <c r="AH10" i="12" s="1"/>
  <c r="AH21" i="12" s="1"/>
  <c r="AH46" i="8"/>
  <c r="AH48" i="8" s="1"/>
  <c r="AH19" i="12"/>
  <c r="AH16" i="12"/>
  <c r="AH18" i="12" s="1"/>
  <c r="BC81" i="4"/>
  <c r="AK75" i="4"/>
  <c r="BB56" i="4"/>
  <c r="BC53" i="4" s="1"/>
  <c r="BD62" i="4"/>
  <c r="BD88" i="4" s="1"/>
  <c r="AJ5" i="12"/>
  <c r="AJ97" i="4"/>
  <c r="AJ99" i="4" s="1"/>
  <c r="AJ96" i="4"/>
  <c r="AJ92" i="4"/>
  <c r="BE87" i="4" l="1"/>
  <c r="BC56" i="4"/>
  <c r="BD53" i="4" s="1"/>
  <c r="BC55" i="4"/>
  <c r="BC82" i="4" s="1"/>
  <c r="BC83" i="4" s="1"/>
  <c r="BD79" i="4" s="1"/>
  <c r="AH49" i="8"/>
  <c r="AH50" i="8" s="1"/>
  <c r="AK48" i="4"/>
  <c r="AK76" i="4" s="1"/>
  <c r="AK93" i="4" s="1"/>
  <c r="AK8" i="12" s="1"/>
  <c r="AI19" i="12"/>
  <c r="AI16" i="12"/>
  <c r="AI18" i="12" s="1"/>
  <c r="AJ10" i="9"/>
  <c r="AJ18" i="10"/>
  <c r="AJ19" i="10" s="1"/>
  <c r="AJ22" i="10" s="1"/>
  <c r="AK98" i="4"/>
  <c r="AJ15" i="12"/>
  <c r="AI46" i="8"/>
  <c r="AI48" i="8" s="1"/>
  <c r="AI43" i="8"/>
  <c r="AI10" i="12" s="1"/>
  <c r="AI21" i="12" s="1"/>
  <c r="AJ20" i="12"/>
  <c r="AJ6" i="12"/>
  <c r="AJ8" i="9"/>
  <c r="AJ7" i="10"/>
  <c r="AJ102" i="4"/>
  <c r="AG28" i="9"/>
  <c r="AG12" i="12" s="1"/>
  <c r="AG11" i="12"/>
  <c r="BD63" i="4"/>
  <c r="BE60" i="4" s="1"/>
  <c r="AH6" i="9" l="1"/>
  <c r="AH11" i="9" s="1"/>
  <c r="AH51" i="8"/>
  <c r="AH26" i="10"/>
  <c r="AJ6" i="8"/>
  <c r="AJ8" i="8" s="1"/>
  <c r="AJ16" i="8" s="1"/>
  <c r="AJ105" i="4"/>
  <c r="AI49" i="8"/>
  <c r="AI50" i="8"/>
  <c r="BD56" i="4"/>
  <c r="BE53" i="4" s="1"/>
  <c r="BD55" i="4"/>
  <c r="BD82" i="4" s="1"/>
  <c r="AK49" i="4"/>
  <c r="BD81" i="4"/>
  <c r="BD83" i="4"/>
  <c r="BE79" i="4" s="1"/>
  <c r="BE62" i="4"/>
  <c r="BE88" i="4" s="1"/>
  <c r="BE89" i="4" s="1"/>
  <c r="BF85" i="4" s="1"/>
  <c r="AK77" i="4"/>
  <c r="AK91" i="4" l="1"/>
  <c r="AL73" i="4"/>
  <c r="AK66" i="4"/>
  <c r="AK7" i="12" s="1"/>
  <c r="AL46" i="4"/>
  <c r="BE81" i="4"/>
  <c r="AI6" i="9"/>
  <c r="AI11" i="9" s="1"/>
  <c r="AI51" i="8"/>
  <c r="BF87" i="4"/>
  <c r="BE63" i="4"/>
  <c r="BF60" i="4" s="1"/>
  <c r="BE55" i="4"/>
  <c r="BE82" i="4" s="1"/>
  <c r="BE83" i="4" s="1"/>
  <c r="BF79" i="4" s="1"/>
  <c r="AJ17" i="8"/>
  <c r="AJ9" i="12" s="1"/>
  <c r="AJ42" i="8"/>
  <c r="AI26" i="10"/>
  <c r="AH27" i="10"/>
  <c r="AH28" i="10" s="1"/>
  <c r="AH25" i="9"/>
  <c r="AH27" i="9" s="1"/>
  <c r="AH18" i="9"/>
  <c r="BF81" i="4" l="1"/>
  <c r="AH20" i="9"/>
  <c r="AH19" i="9"/>
  <c r="AH6" i="10"/>
  <c r="AH9" i="10" s="1"/>
  <c r="AH14" i="10" s="1"/>
  <c r="AH29" i="10" s="1"/>
  <c r="AI26" i="9"/>
  <c r="AJ46" i="8"/>
  <c r="AJ48" i="8" s="1"/>
  <c r="AJ43" i="8"/>
  <c r="AJ10" i="12" s="1"/>
  <c r="AJ21" i="12" s="1"/>
  <c r="AJ19" i="12"/>
  <c r="AJ16" i="12"/>
  <c r="AJ18" i="12" s="1"/>
  <c r="BF62" i="4"/>
  <c r="BF88" i="4" s="1"/>
  <c r="BF89" i="4" s="1"/>
  <c r="BG85" i="4" s="1"/>
  <c r="AI25" i="9"/>
  <c r="AI18" i="9"/>
  <c r="AL75" i="4"/>
  <c r="AL77" i="4" s="1"/>
  <c r="AL93" i="4"/>
  <c r="AL8" i="12" s="1"/>
  <c r="AI27" i="10"/>
  <c r="AI28" i="10" s="1"/>
  <c r="BE56" i="4"/>
  <c r="BF53" i="4" s="1"/>
  <c r="AL48" i="4"/>
  <c r="AL76" i="4" s="1"/>
  <c r="AL49" i="4"/>
  <c r="AK5" i="12"/>
  <c r="AK15" i="12" s="1"/>
  <c r="AK97" i="4"/>
  <c r="AK99" i="4" s="1"/>
  <c r="AK96" i="4"/>
  <c r="AK92" i="4"/>
  <c r="AL91" i="4" l="1"/>
  <c r="AM73" i="4"/>
  <c r="BM77" i="4"/>
  <c r="BG87" i="4"/>
  <c r="BF55" i="4"/>
  <c r="BF82" i="4" s="1"/>
  <c r="BF83" i="4" s="1"/>
  <c r="BG79" i="4" s="1"/>
  <c r="AJ49" i="8"/>
  <c r="AJ50" i="8" s="1"/>
  <c r="AL66" i="4"/>
  <c r="BM49" i="4"/>
  <c r="AM46" i="4"/>
  <c r="AI20" i="9"/>
  <c r="AI19" i="9"/>
  <c r="BF63" i="4"/>
  <c r="BG60" i="4" s="1"/>
  <c r="AH28" i="9"/>
  <c r="AH12" i="12" s="1"/>
  <c r="AH11" i="12"/>
  <c r="AK8" i="9"/>
  <c r="AK7" i="10"/>
  <c r="AK102" i="4"/>
  <c r="AI27" i="9"/>
  <c r="AK20" i="12"/>
  <c r="AK6" i="12"/>
  <c r="AK100" i="4"/>
  <c r="AK101" i="4"/>
  <c r="AJ6" i="9" l="1"/>
  <c r="AJ11" i="9" s="1"/>
  <c r="AJ51" i="8"/>
  <c r="AJ26" i="10"/>
  <c r="AK105" i="4"/>
  <c r="AK6" i="8"/>
  <c r="AK8" i="8" s="1"/>
  <c r="AK16" i="8" s="1"/>
  <c r="BG62" i="4"/>
  <c r="BG88" i="4" s="1"/>
  <c r="BG89" i="4" s="1"/>
  <c r="BH85" i="4" s="1"/>
  <c r="AI11" i="12"/>
  <c r="AI28" i="9"/>
  <c r="AI12" i="12" s="1"/>
  <c r="AL7" i="12"/>
  <c r="BM7" i="12" s="1"/>
  <c r="BM66" i="4"/>
  <c r="AK18" i="10"/>
  <c r="AK19" i="10" s="1"/>
  <c r="AK22" i="10" s="1"/>
  <c r="AK10" i="9"/>
  <c r="AL98" i="4"/>
  <c r="BG81" i="4"/>
  <c r="AJ26" i="9"/>
  <c r="AI6" i="10"/>
  <c r="AI9" i="10" s="1"/>
  <c r="AI14" i="10" s="1"/>
  <c r="AI29" i="10" s="1"/>
  <c r="AM48" i="4"/>
  <c r="AM76" i="4" s="1"/>
  <c r="AM49" i="4"/>
  <c r="BF56" i="4"/>
  <c r="BG53" i="4" s="1"/>
  <c r="AM75" i="4"/>
  <c r="AM93" i="4" s="1"/>
  <c r="AM8" i="12" s="1"/>
  <c r="AL5" i="12"/>
  <c r="AL97" i="4"/>
  <c r="AL99" i="4" s="1"/>
  <c r="AL96" i="4"/>
  <c r="BM91" i="4"/>
  <c r="AL92" i="4"/>
  <c r="AN46" i="4" l="1"/>
  <c r="AM66" i="4"/>
  <c r="AM7" i="12" s="1"/>
  <c r="AL100" i="4"/>
  <c r="AL101" i="4"/>
  <c r="BG55" i="4"/>
  <c r="BG82" i="4" s="1"/>
  <c r="BG83" i="4" s="1"/>
  <c r="BH79" i="4" s="1"/>
  <c r="AJ27" i="9"/>
  <c r="AM77" i="4"/>
  <c r="BH87" i="4"/>
  <c r="AL8" i="9"/>
  <c r="AL7" i="10"/>
  <c r="BM7" i="10" s="1"/>
  <c r="E45" i="11" s="1"/>
  <c r="AL102" i="4"/>
  <c r="AJ27" i="10"/>
  <c r="AJ28" i="10" s="1"/>
  <c r="AK42" i="8"/>
  <c r="AK17" i="8"/>
  <c r="AK9" i="12" s="1"/>
  <c r="BG63" i="4"/>
  <c r="BH60" i="4" s="1"/>
  <c r="AL20" i="12"/>
  <c r="AL6" i="12"/>
  <c r="BM6" i="12" s="1"/>
  <c r="BM92" i="4"/>
  <c r="BM5" i="12"/>
  <c r="AL15" i="12"/>
  <c r="AJ25" i="9"/>
  <c r="AJ18" i="9"/>
  <c r="AK46" i="8" l="1"/>
  <c r="AK48" i="8" s="1"/>
  <c r="AK43" i="8"/>
  <c r="AK10" i="12" s="1"/>
  <c r="AK21" i="12" s="1"/>
  <c r="AL6" i="8"/>
  <c r="AL8" i="8" s="1"/>
  <c r="AL16" i="8" s="1"/>
  <c r="AL105" i="4"/>
  <c r="AM91" i="4"/>
  <c r="AN73" i="4"/>
  <c r="AK16" i="12"/>
  <c r="AK18" i="12" s="1"/>
  <c r="AK19" i="12"/>
  <c r="AJ20" i="9"/>
  <c r="AJ19" i="9"/>
  <c r="BH62" i="4"/>
  <c r="BH88" i="4" s="1"/>
  <c r="BH89" i="4" s="1"/>
  <c r="BI85" i="4" s="1"/>
  <c r="BH81" i="4"/>
  <c r="AJ6" i="10"/>
  <c r="AJ9" i="10" s="1"/>
  <c r="AJ14" i="10" s="1"/>
  <c r="AJ29" i="10" s="1"/>
  <c r="AK26" i="9"/>
  <c r="BG56" i="4"/>
  <c r="BH53" i="4" s="1"/>
  <c r="AL18" i="10"/>
  <c r="AL10" i="9"/>
  <c r="AM98" i="4"/>
  <c r="BM101" i="4"/>
  <c r="AN49" i="4"/>
  <c r="AN48" i="4"/>
  <c r="AN76" i="4" s="1"/>
  <c r="BH55" i="4" l="1"/>
  <c r="BH82" i="4" s="1"/>
  <c r="BH83" i="4" s="1"/>
  <c r="BI79" i="4" s="1"/>
  <c r="BM18" i="10"/>
  <c r="E52" i="11" s="1"/>
  <c r="AL19" i="10"/>
  <c r="AJ28" i="9"/>
  <c r="AJ12" i="12" s="1"/>
  <c r="AJ11" i="12"/>
  <c r="AO46" i="4"/>
  <c r="AN66" i="4"/>
  <c r="AN7" i="12" s="1"/>
  <c r="AN75" i="4"/>
  <c r="AN77" i="4" s="1"/>
  <c r="AL42" i="8"/>
  <c r="AL17" i="8"/>
  <c r="AL9" i="12" s="1"/>
  <c r="BI87" i="4"/>
  <c r="BH63" i="4"/>
  <c r="BI60" i="4" s="1"/>
  <c r="AM5" i="12"/>
  <c r="AM15" i="12" s="1"/>
  <c r="AM96" i="4"/>
  <c r="AM92" i="4"/>
  <c r="AM97" i="4"/>
  <c r="AM99" i="4" s="1"/>
  <c r="AM100" i="4" s="1"/>
  <c r="AK49" i="8"/>
  <c r="AK50" i="8" s="1"/>
  <c r="AK6" i="9" l="1"/>
  <c r="AK11" i="9" s="1"/>
  <c r="AK51" i="8"/>
  <c r="AK26" i="10"/>
  <c r="AN91" i="4"/>
  <c r="AO73" i="4"/>
  <c r="BI81" i="4"/>
  <c r="AM20" i="12"/>
  <c r="AM6" i="12"/>
  <c r="AL43" i="8"/>
  <c r="AL10" i="12" s="1"/>
  <c r="AL21" i="12" s="1"/>
  <c r="AL46" i="8"/>
  <c r="AL48" i="8" s="1"/>
  <c r="AM101" i="4"/>
  <c r="AM7" i="10"/>
  <c r="AM8" i="9"/>
  <c r="AM102" i="4"/>
  <c r="BI62" i="4"/>
  <c r="BI88" i="4" s="1"/>
  <c r="BI89" i="4" s="1"/>
  <c r="BJ85" i="4" s="1"/>
  <c r="AO48" i="4"/>
  <c r="AO76" i="4" s="1"/>
  <c r="AL16" i="12"/>
  <c r="AL18" i="12" s="1"/>
  <c r="AL19" i="12"/>
  <c r="AN93" i="4"/>
  <c r="AN8" i="12" s="1"/>
  <c r="AL22" i="10"/>
  <c r="BM19" i="10"/>
  <c r="E53" i="11" s="1"/>
  <c r="BH56" i="4"/>
  <c r="BI53" i="4" s="1"/>
  <c r="AO49" i="4" l="1"/>
  <c r="AM6" i="8"/>
  <c r="AM8" i="8" s="1"/>
  <c r="AM16" i="8" s="1"/>
  <c r="AM105" i="4"/>
  <c r="AM18" i="10"/>
  <c r="AM19" i="10" s="1"/>
  <c r="AM22" i="10" s="1"/>
  <c r="AM10" i="9"/>
  <c r="AN98" i="4"/>
  <c r="BI63" i="4"/>
  <c r="BJ60" i="4" s="1"/>
  <c r="BI55" i="4"/>
  <c r="BI82" i="4" s="1"/>
  <c r="BI83" i="4" s="1"/>
  <c r="BJ79" i="4" s="1"/>
  <c r="AN5" i="12"/>
  <c r="AN15" i="12" s="1"/>
  <c r="AN97" i="4"/>
  <c r="AN99" i="4" s="1"/>
  <c r="AN96" i="4"/>
  <c r="AN92" i="4"/>
  <c r="BJ87" i="4"/>
  <c r="AK27" i="10"/>
  <c r="AK28" i="10" s="1"/>
  <c r="BM22" i="10"/>
  <c r="E55" i="11" s="1"/>
  <c r="AL49" i="8"/>
  <c r="AL50" i="8" s="1"/>
  <c r="AO77" i="4"/>
  <c r="AO93" i="4"/>
  <c r="AO8" i="12" s="1"/>
  <c r="AO75" i="4"/>
  <c r="AK18" i="9"/>
  <c r="AK25" i="9"/>
  <c r="AK27" i="9" s="1"/>
  <c r="AL6" i="9" l="1"/>
  <c r="AL11" i="9" s="1"/>
  <c r="AL51" i="8"/>
  <c r="AL26" i="10"/>
  <c r="BJ81" i="4"/>
  <c r="BJ62" i="4"/>
  <c r="AN20" i="12"/>
  <c r="AN6" i="12"/>
  <c r="AN7" i="10"/>
  <c r="AN8" i="9"/>
  <c r="AN102" i="4"/>
  <c r="BI56" i="4"/>
  <c r="BJ53" i="4" s="1"/>
  <c r="AN101" i="4"/>
  <c r="AN100" i="4"/>
  <c r="AM42" i="8"/>
  <c r="AM17" i="8"/>
  <c r="AM9" i="12" s="1"/>
  <c r="AP73" i="4"/>
  <c r="AO91" i="4"/>
  <c r="AP46" i="4"/>
  <c r="AO66" i="4"/>
  <c r="AO7" i="12" s="1"/>
  <c r="AL26" i="9"/>
  <c r="AK6" i="10"/>
  <c r="AK9" i="10" s="1"/>
  <c r="AK14" i="10" s="1"/>
  <c r="AK29" i="10" s="1"/>
  <c r="AK19" i="9"/>
  <c r="AK20" i="9"/>
  <c r="AO5" i="12" l="1"/>
  <c r="AO15" i="12" s="1"/>
  <c r="AO92" i="4"/>
  <c r="AO97" i="4"/>
  <c r="AO99" i="4" s="1"/>
  <c r="AO96" i="4"/>
  <c r="AM46" i="8"/>
  <c r="AM48" i="8" s="1"/>
  <c r="AM43" i="8"/>
  <c r="AM10" i="12" s="1"/>
  <c r="AM21" i="12" s="1"/>
  <c r="AP48" i="4"/>
  <c r="AP76" i="4" s="1"/>
  <c r="AN6" i="8"/>
  <c r="AN8" i="8" s="1"/>
  <c r="AN16" i="8" s="1"/>
  <c r="AN105" i="4"/>
  <c r="AM16" i="12"/>
  <c r="AM18" i="12" s="1"/>
  <c r="AM19" i="12"/>
  <c r="AN18" i="10"/>
  <c r="AN19" i="10" s="1"/>
  <c r="AN22" i="10" s="1"/>
  <c r="AN10" i="9"/>
  <c r="AO98" i="4"/>
  <c r="AP75" i="4"/>
  <c r="AP93" i="4" s="1"/>
  <c r="AP8" i="12" s="1"/>
  <c r="AK28" i="9"/>
  <c r="AK12" i="12" s="1"/>
  <c r="AK11" i="12"/>
  <c r="BJ56" i="4"/>
  <c r="BJ55" i="4"/>
  <c r="BJ88" i="4"/>
  <c r="BJ89" i="4" s="1"/>
  <c r="BM62" i="4"/>
  <c r="BL62" i="4"/>
  <c r="BN62" i="4"/>
  <c r="BP62" i="4"/>
  <c r="BK62" i="4"/>
  <c r="BO62" i="4"/>
  <c r="BJ63" i="4"/>
  <c r="AL18" i="9"/>
  <c r="AL25" i="9"/>
  <c r="BM26" i="10"/>
  <c r="AL27" i="10"/>
  <c r="AL27" i="9"/>
  <c r="AP77" i="4" l="1"/>
  <c r="AO100" i="4"/>
  <c r="AO101" i="4" s="1"/>
  <c r="BM27" i="10"/>
  <c r="E58" i="11" s="1"/>
  <c r="AL28" i="10"/>
  <c r="BM28" i="10" s="1"/>
  <c r="E59" i="11" s="1"/>
  <c r="BJ82" i="4"/>
  <c r="BJ83" i="4" s="1"/>
  <c r="BM55" i="4"/>
  <c r="BL55" i="4"/>
  <c r="BO55" i="4"/>
  <c r="BP55" i="4"/>
  <c r="BN55" i="4"/>
  <c r="BK55" i="4"/>
  <c r="AN42" i="8"/>
  <c r="AN17" i="8"/>
  <c r="AN9" i="12" s="1"/>
  <c r="BM27" i="9"/>
  <c r="E39" i="11" s="1"/>
  <c r="AM26" i="9"/>
  <c r="AL6" i="10"/>
  <c r="AL19" i="9"/>
  <c r="AL20" i="9"/>
  <c r="AP49" i="4"/>
  <c r="AM49" i="8"/>
  <c r="AM50" i="8" s="1"/>
  <c r="AO7" i="10"/>
  <c r="AO8" i="9"/>
  <c r="AO20" i="12"/>
  <c r="AO6" i="12"/>
  <c r="AM6" i="9" l="1"/>
  <c r="AM11" i="9" s="1"/>
  <c r="AM51" i="8"/>
  <c r="AM26" i="10"/>
  <c r="AO18" i="10"/>
  <c r="AO19" i="10" s="1"/>
  <c r="AO22" i="10" s="1"/>
  <c r="AO10" i="9"/>
  <c r="AP98" i="4"/>
  <c r="AL9" i="10"/>
  <c r="BM6" i="10"/>
  <c r="E44" i="11" s="1"/>
  <c r="AQ46" i="4"/>
  <c r="AP66" i="4"/>
  <c r="AP7" i="12" s="1"/>
  <c r="AL28" i="9"/>
  <c r="AL11" i="12"/>
  <c r="AN19" i="12"/>
  <c r="AN16" i="12"/>
  <c r="AN18" i="12" s="1"/>
  <c r="AN43" i="8"/>
  <c r="AN10" i="12" s="1"/>
  <c r="AN21" i="12" s="1"/>
  <c r="AN46" i="8"/>
  <c r="AN48" i="8" s="1"/>
  <c r="AO102" i="4"/>
  <c r="AQ73" i="4"/>
  <c r="AP91" i="4"/>
  <c r="AP5" i="12" l="1"/>
  <c r="AP15" i="12" s="1"/>
  <c r="AP96" i="4"/>
  <c r="AP92" i="4"/>
  <c r="AP97" i="4"/>
  <c r="AP99" i="4" s="1"/>
  <c r="AN49" i="8"/>
  <c r="AN50" i="8" s="1"/>
  <c r="AQ75" i="4"/>
  <c r="AQ93" i="4" s="1"/>
  <c r="AQ8" i="12" s="1"/>
  <c r="AL12" i="12"/>
  <c r="BM12" i="12" s="1"/>
  <c r="BM28" i="9"/>
  <c r="E40" i="11" s="1"/>
  <c r="AQ48" i="4"/>
  <c r="AQ76" i="4" s="1"/>
  <c r="AO6" i="8"/>
  <c r="AO8" i="8" s="1"/>
  <c r="AO16" i="8" s="1"/>
  <c r="AO105" i="4"/>
  <c r="AL14" i="10"/>
  <c r="BM9" i="10"/>
  <c r="E46" i="11" s="1"/>
  <c r="AP100" i="4"/>
  <c r="AP101" i="4" s="1"/>
  <c r="AM27" i="10"/>
  <c r="AM28" i="10" s="1"/>
  <c r="AM25" i="9"/>
  <c r="AM27" i="9" s="1"/>
  <c r="AM18" i="9"/>
  <c r="AP18" i="10" l="1"/>
  <c r="AP19" i="10" s="1"/>
  <c r="AP22" i="10" s="1"/>
  <c r="AP10" i="9"/>
  <c r="AQ98" i="4"/>
  <c r="AN6" i="9"/>
  <c r="AN11" i="9" s="1"/>
  <c r="AN51" i="8"/>
  <c r="AN26" i="10"/>
  <c r="AM19" i="9"/>
  <c r="AM20" i="9"/>
  <c r="AN26" i="9"/>
  <c r="AM6" i="10"/>
  <c r="AM9" i="10" s="1"/>
  <c r="AM14" i="10" s="1"/>
  <c r="AM29" i="10" s="1"/>
  <c r="AO42" i="8"/>
  <c r="AO17" i="8"/>
  <c r="AO9" i="12" s="1"/>
  <c r="AQ49" i="4"/>
  <c r="AQ77" i="4"/>
  <c r="AP20" i="12"/>
  <c r="AP6" i="12"/>
  <c r="AP7" i="10"/>
  <c r="AP8" i="9"/>
  <c r="AP102" i="4"/>
  <c r="BM14" i="10"/>
  <c r="E48" i="11" s="1"/>
  <c r="AL29" i="10"/>
  <c r="BM29" i="10" s="1"/>
  <c r="E60" i="11" s="1"/>
  <c r="AO43" i="8" l="1"/>
  <c r="AO10" i="12" s="1"/>
  <c r="AO21" i="12" s="1"/>
  <c r="AO46" i="8"/>
  <c r="AO48" i="8" s="1"/>
  <c r="AM11" i="12"/>
  <c r="AM28" i="9"/>
  <c r="AM12" i="12" s="1"/>
  <c r="AO16" i="12"/>
  <c r="AO18" i="12" s="1"/>
  <c r="AO19" i="12"/>
  <c r="AR46" i="4"/>
  <c r="AQ66" i="4"/>
  <c r="AQ7" i="12" s="1"/>
  <c r="AN27" i="10"/>
  <c r="AN28" i="10" s="1"/>
  <c r="AP105" i="4"/>
  <c r="AP6" i="8"/>
  <c r="AP8" i="8" s="1"/>
  <c r="AP16" i="8" s="1"/>
  <c r="AR73" i="4"/>
  <c r="AQ91" i="4"/>
  <c r="AN25" i="9"/>
  <c r="AN27" i="9" s="1"/>
  <c r="AN18" i="9"/>
  <c r="AO26" i="9" l="1"/>
  <c r="AN6" i="10"/>
  <c r="AN9" i="10" s="1"/>
  <c r="AN14" i="10" s="1"/>
  <c r="AN29" i="10" s="1"/>
  <c r="AN20" i="9"/>
  <c r="AN19" i="9"/>
  <c r="AR75" i="4"/>
  <c r="AR93" i="4" s="1"/>
  <c r="AR8" i="12" s="1"/>
  <c r="AR48" i="4"/>
  <c r="AR76" i="4" s="1"/>
  <c r="AO49" i="8"/>
  <c r="AO50" i="8" s="1"/>
  <c r="AQ5" i="12"/>
  <c r="AQ15" i="12" s="1"/>
  <c r="AQ92" i="4"/>
  <c r="AQ97" i="4"/>
  <c r="AQ99" i="4" s="1"/>
  <c r="AQ96" i="4"/>
  <c r="AP42" i="8"/>
  <c r="AP17" i="8"/>
  <c r="AP9" i="12" s="1"/>
  <c r="AO6" i="9" l="1"/>
  <c r="AO11" i="9" s="1"/>
  <c r="AO51" i="8"/>
  <c r="AO26" i="10"/>
  <c r="AQ100" i="4"/>
  <c r="AQ101" i="4"/>
  <c r="AP16" i="12"/>
  <c r="AP18" i="12" s="1"/>
  <c r="AP19" i="12"/>
  <c r="AP43" i="8"/>
  <c r="AP10" i="12" s="1"/>
  <c r="AP21" i="12" s="1"/>
  <c r="AP46" i="8"/>
  <c r="AP48" i="8" s="1"/>
  <c r="AQ20" i="12"/>
  <c r="AQ6" i="12"/>
  <c r="AQ7" i="10"/>
  <c r="AQ102" i="4"/>
  <c r="AQ8" i="9"/>
  <c r="AR49" i="4"/>
  <c r="AR77" i="4"/>
  <c r="AN11" i="12"/>
  <c r="AN28" i="9"/>
  <c r="AN12" i="12" s="1"/>
  <c r="AP49" i="8" l="1"/>
  <c r="AP50" i="8" s="1"/>
  <c r="AS46" i="4"/>
  <c r="AR66" i="4"/>
  <c r="AR7" i="12" s="1"/>
  <c r="AO27" i="10"/>
  <c r="AO28" i="10" s="1"/>
  <c r="AQ105" i="4"/>
  <c r="AQ6" i="8"/>
  <c r="AQ8" i="8" s="1"/>
  <c r="AQ16" i="8" s="1"/>
  <c r="AQ18" i="10"/>
  <c r="AQ19" i="10" s="1"/>
  <c r="AQ22" i="10" s="1"/>
  <c r="AQ10" i="9"/>
  <c r="AR98" i="4"/>
  <c r="AR91" i="4"/>
  <c r="AS73" i="4"/>
  <c r="AO25" i="9"/>
  <c r="AO27" i="9" s="1"/>
  <c r="AO18" i="9"/>
  <c r="AP51" i="8" l="1"/>
  <c r="AP6" i="9"/>
  <c r="AP11" i="9" s="1"/>
  <c r="AP26" i="10"/>
  <c r="AO20" i="9"/>
  <c r="AO19" i="9"/>
  <c r="AR5" i="12"/>
  <c r="AR15" i="12" s="1"/>
  <c r="AR96" i="4"/>
  <c r="AR92" i="4"/>
  <c r="AR97" i="4"/>
  <c r="AR99" i="4" s="1"/>
  <c r="AP26" i="9"/>
  <c r="AO6" i="10"/>
  <c r="AO9" i="10" s="1"/>
  <c r="AO14" i="10" s="1"/>
  <c r="AO29" i="10" s="1"/>
  <c r="AS75" i="4"/>
  <c r="AS93" i="4" s="1"/>
  <c r="AS8" i="12" s="1"/>
  <c r="AR100" i="4"/>
  <c r="AR101" i="4" s="1"/>
  <c r="AQ17" i="8"/>
  <c r="AQ9" i="12" s="1"/>
  <c r="AQ42" i="8"/>
  <c r="AS48" i="4"/>
  <c r="AS76" i="4" s="1"/>
  <c r="AS49" i="4"/>
  <c r="AR18" i="10" l="1"/>
  <c r="AR19" i="10" s="1"/>
  <c r="AR22" i="10" s="1"/>
  <c r="AR10" i="9"/>
  <c r="AS98" i="4"/>
  <c r="AT46" i="4"/>
  <c r="AS66" i="4"/>
  <c r="AS7" i="12" s="1"/>
  <c r="AS77" i="4"/>
  <c r="AQ43" i="8"/>
  <c r="AQ10" i="12" s="1"/>
  <c r="AQ21" i="12" s="1"/>
  <c r="AQ46" i="8"/>
  <c r="AQ48" i="8" s="1"/>
  <c r="AQ16" i="12"/>
  <c r="AQ18" i="12" s="1"/>
  <c r="AQ19" i="12"/>
  <c r="AR20" i="12"/>
  <c r="AR6" i="12"/>
  <c r="AO11" i="12"/>
  <c r="AO28" i="9"/>
  <c r="AO12" i="12" s="1"/>
  <c r="AP18" i="9"/>
  <c r="AP25" i="9"/>
  <c r="AP27" i="9" s="1"/>
  <c r="AR7" i="10"/>
  <c r="AR8" i="9"/>
  <c r="AR102" i="4"/>
  <c r="AP27" i="10"/>
  <c r="AP28" i="10" s="1"/>
  <c r="AQ26" i="9" l="1"/>
  <c r="AP6" i="10"/>
  <c r="AP9" i="10" s="1"/>
  <c r="AP14" i="10" s="1"/>
  <c r="AP29" i="10" s="1"/>
  <c r="AP20" i="9"/>
  <c r="AP19" i="9"/>
  <c r="AR105" i="4"/>
  <c r="AR6" i="8"/>
  <c r="AR8" i="8" s="1"/>
  <c r="AR16" i="8" s="1"/>
  <c r="AQ49" i="8"/>
  <c r="AQ50" i="8" s="1"/>
  <c r="AT73" i="4"/>
  <c r="AS91" i="4"/>
  <c r="AT48" i="4"/>
  <c r="AT76" i="4" s="1"/>
  <c r="AQ51" i="8" l="1"/>
  <c r="AQ6" i="9"/>
  <c r="AQ11" i="9" s="1"/>
  <c r="AQ26" i="10"/>
  <c r="AT75" i="4"/>
  <c r="AT93" i="4" s="1"/>
  <c r="AT8" i="12" s="1"/>
  <c r="AT49" i="4"/>
  <c r="AS5" i="12"/>
  <c r="AS15" i="12" s="1"/>
  <c r="AS96" i="4"/>
  <c r="AS92" i="4"/>
  <c r="AS97" i="4"/>
  <c r="AS99" i="4" s="1"/>
  <c r="AR42" i="8"/>
  <c r="AR17" i="8"/>
  <c r="AR9" i="12" s="1"/>
  <c r="AP11" i="12"/>
  <c r="AP28" i="9"/>
  <c r="AP12" i="12" s="1"/>
  <c r="AR43" i="8" l="1"/>
  <c r="AR10" i="12" s="1"/>
  <c r="AR21" i="12" s="1"/>
  <c r="AR46" i="8"/>
  <c r="AR48" i="8" s="1"/>
  <c r="AS20" i="12"/>
  <c r="AS6" i="12"/>
  <c r="AT66" i="4"/>
  <c r="AT7" i="12" s="1"/>
  <c r="AU46" i="4"/>
  <c r="AR19" i="12"/>
  <c r="AR16" i="12"/>
  <c r="AR18" i="12" s="1"/>
  <c r="AS7" i="10"/>
  <c r="AS8" i="9"/>
  <c r="AQ25" i="9"/>
  <c r="AQ27" i="9" s="1"/>
  <c r="AQ18" i="9"/>
  <c r="AS100" i="4"/>
  <c r="AS102" i="4" s="1"/>
  <c r="AT77" i="4"/>
  <c r="AQ27" i="10"/>
  <c r="AQ28" i="10" s="1"/>
  <c r="AS105" i="4" l="1"/>
  <c r="AS6" i="8"/>
  <c r="AS8" i="8" s="1"/>
  <c r="AS16" i="8" s="1"/>
  <c r="AT91" i="4"/>
  <c r="AU73" i="4"/>
  <c r="AS101" i="4"/>
  <c r="AQ20" i="9"/>
  <c r="AQ19" i="9"/>
  <c r="AU48" i="4"/>
  <c r="AU76" i="4" s="1"/>
  <c r="AU49" i="4"/>
  <c r="AR50" i="8"/>
  <c r="AR49" i="8"/>
  <c r="AR26" i="9"/>
  <c r="AQ6" i="10"/>
  <c r="AQ9" i="10" s="1"/>
  <c r="AQ14" i="10" s="1"/>
  <c r="AQ29" i="10" s="1"/>
  <c r="AR6" i="9" l="1"/>
  <c r="AR11" i="9" s="1"/>
  <c r="AR51" i="8"/>
  <c r="AR26" i="10"/>
  <c r="AQ11" i="12"/>
  <c r="AQ28" i="9"/>
  <c r="AQ12" i="12" s="1"/>
  <c r="AU75" i="4"/>
  <c r="AU93" i="4" s="1"/>
  <c r="AU8" i="12" s="1"/>
  <c r="AU77" i="4"/>
  <c r="AU66" i="4"/>
  <c r="AU7" i="12" s="1"/>
  <c r="AV46" i="4"/>
  <c r="AS18" i="10"/>
  <c r="AS19" i="10" s="1"/>
  <c r="AS22" i="10" s="1"/>
  <c r="AS10" i="9"/>
  <c r="AT98" i="4"/>
  <c r="AT5" i="12"/>
  <c r="AT15" i="12" s="1"/>
  <c r="AT96" i="4"/>
  <c r="AT92" i="4"/>
  <c r="AT97" i="4"/>
  <c r="AT99" i="4" s="1"/>
  <c r="AS42" i="8"/>
  <c r="AS17" i="8"/>
  <c r="AS9" i="12" s="1"/>
  <c r="AT8" i="9" l="1"/>
  <c r="AT7" i="10"/>
  <c r="AS46" i="8"/>
  <c r="AS48" i="8" s="1"/>
  <c r="AS43" i="8"/>
  <c r="AS10" i="12" s="1"/>
  <c r="AS21" i="12" s="1"/>
  <c r="AT20" i="12"/>
  <c r="AT6" i="12"/>
  <c r="AV48" i="4"/>
  <c r="AV76" i="4" s="1"/>
  <c r="AS19" i="12"/>
  <c r="AS16" i="12"/>
  <c r="AS18" i="12" s="1"/>
  <c r="AT100" i="4"/>
  <c r="AT102" i="4" s="1"/>
  <c r="AU91" i="4"/>
  <c r="AV73" i="4"/>
  <c r="AR27" i="10"/>
  <c r="AR28" i="10" s="1"/>
  <c r="AR18" i="9"/>
  <c r="AR25" i="9"/>
  <c r="AR27" i="9" s="1"/>
  <c r="AT6" i="8" l="1"/>
  <c r="AT8" i="8" s="1"/>
  <c r="AT16" i="8" s="1"/>
  <c r="AT105" i="4"/>
  <c r="AR20" i="9"/>
  <c r="AR19" i="9"/>
  <c r="AV75" i="4"/>
  <c r="AV77" i="4" s="1"/>
  <c r="AT101" i="4"/>
  <c r="AV49" i="4"/>
  <c r="AR6" i="10"/>
  <c r="AR9" i="10" s="1"/>
  <c r="AR14" i="10" s="1"/>
  <c r="AR29" i="10" s="1"/>
  <c r="AS26" i="9"/>
  <c r="AU5" i="12"/>
  <c r="AU15" i="12" s="1"/>
  <c r="AU96" i="4"/>
  <c r="AU92" i="4"/>
  <c r="AU97" i="4"/>
  <c r="AU99" i="4" s="1"/>
  <c r="AS49" i="8"/>
  <c r="AS50" i="8" s="1"/>
  <c r="AS6" i="9" l="1"/>
  <c r="AS11" i="9" s="1"/>
  <c r="AS51" i="8"/>
  <c r="AS26" i="10"/>
  <c r="AW73" i="4"/>
  <c r="AV91" i="4"/>
  <c r="AU8" i="9"/>
  <c r="AU7" i="10"/>
  <c r="AT18" i="10"/>
  <c r="AT19" i="10" s="1"/>
  <c r="AT22" i="10" s="1"/>
  <c r="AT10" i="9"/>
  <c r="AU98" i="4"/>
  <c r="AV93" i="4"/>
  <c r="AV8" i="12" s="1"/>
  <c r="AR11" i="12"/>
  <c r="AR28" i="9"/>
  <c r="AR12" i="12" s="1"/>
  <c r="AU20" i="12"/>
  <c r="AU6" i="12"/>
  <c r="AV66" i="4"/>
  <c r="AV7" i="12" s="1"/>
  <c r="AW46" i="4"/>
  <c r="AT42" i="8"/>
  <c r="AT17" i="8"/>
  <c r="AT9" i="12" s="1"/>
  <c r="AT19" i="12" l="1"/>
  <c r="AT16" i="12"/>
  <c r="AT18" i="12" s="1"/>
  <c r="AT46" i="8"/>
  <c r="AT48" i="8" s="1"/>
  <c r="AT43" i="8"/>
  <c r="AT10" i="12" s="1"/>
  <c r="AT21" i="12" s="1"/>
  <c r="AW48" i="4"/>
  <c r="AW76" i="4" s="1"/>
  <c r="AS27" i="10"/>
  <c r="AS28" i="10" s="1"/>
  <c r="AU100" i="4"/>
  <c r="AU102" i="4" s="1"/>
  <c r="AV5" i="12"/>
  <c r="AV15" i="12" s="1"/>
  <c r="AV96" i="4"/>
  <c r="AV92" i="4"/>
  <c r="AV97" i="4"/>
  <c r="AV99" i="4" s="1"/>
  <c r="AW75" i="4"/>
  <c r="AW93" i="4" s="1"/>
  <c r="AW8" i="12" s="1"/>
  <c r="AS25" i="9"/>
  <c r="AS27" i="9" s="1"/>
  <c r="AS18" i="9"/>
  <c r="AS19" i="9" l="1"/>
  <c r="AS20" i="9"/>
  <c r="AW77" i="4"/>
  <c r="AU101" i="4"/>
  <c r="AW49" i="4"/>
  <c r="AU6" i="8"/>
  <c r="AU8" i="8" s="1"/>
  <c r="AU16" i="8" s="1"/>
  <c r="AU105" i="4"/>
  <c r="AS6" i="10"/>
  <c r="AS9" i="10" s="1"/>
  <c r="AS14" i="10" s="1"/>
  <c r="AS29" i="10" s="1"/>
  <c r="AT26" i="9"/>
  <c r="AV20" i="12"/>
  <c r="AV6" i="12"/>
  <c r="AV7" i="10"/>
  <c r="AV8" i="9"/>
  <c r="AT49" i="8"/>
  <c r="AT50" i="8" s="1"/>
  <c r="AT51" i="8" l="1"/>
  <c r="AT6" i="9"/>
  <c r="AT11" i="9" s="1"/>
  <c r="AT26" i="10"/>
  <c r="AW91" i="4"/>
  <c r="AX73" i="4"/>
  <c r="AU42" i="8"/>
  <c r="AU17" i="8"/>
  <c r="AU9" i="12" s="1"/>
  <c r="AU18" i="10"/>
  <c r="AU19" i="10" s="1"/>
  <c r="AU22" i="10" s="1"/>
  <c r="AU10" i="9"/>
  <c r="AV98" i="4"/>
  <c r="AW66" i="4"/>
  <c r="AW7" i="12" s="1"/>
  <c r="AX46" i="4"/>
  <c r="AS11" i="12"/>
  <c r="AS28" i="9"/>
  <c r="AS12" i="12" s="1"/>
  <c r="AU16" i="12" l="1"/>
  <c r="AU18" i="12" s="1"/>
  <c r="AU19" i="12"/>
  <c r="AT18" i="9"/>
  <c r="AT25" i="9"/>
  <c r="AT27" i="9" s="1"/>
  <c r="AX48" i="4"/>
  <c r="AX76" i="4" s="1"/>
  <c r="AV100" i="4"/>
  <c r="AV102" i="4" s="1"/>
  <c r="AU46" i="8"/>
  <c r="AU48" i="8" s="1"/>
  <c r="AU43" i="8"/>
  <c r="AU10" i="12" s="1"/>
  <c r="AU21" i="12" s="1"/>
  <c r="AX75" i="4"/>
  <c r="AX93" i="4"/>
  <c r="AX8" i="12" s="1"/>
  <c r="AX77" i="4"/>
  <c r="AW5" i="12"/>
  <c r="AW15" i="12" s="1"/>
  <c r="AW96" i="4"/>
  <c r="AW92" i="4"/>
  <c r="AW97" i="4"/>
  <c r="AW99" i="4" s="1"/>
  <c r="AT27" i="10"/>
  <c r="AT28" i="10" s="1"/>
  <c r="AW8" i="9" l="1"/>
  <c r="AW7" i="10"/>
  <c r="AX91" i="4"/>
  <c r="AY73" i="4"/>
  <c r="AV6" i="8"/>
  <c r="AV8" i="8" s="1"/>
  <c r="AV16" i="8" s="1"/>
  <c r="AV105" i="4"/>
  <c r="AU49" i="8"/>
  <c r="AU50" i="8"/>
  <c r="AV101" i="4"/>
  <c r="AX49" i="4"/>
  <c r="AW20" i="12"/>
  <c r="AW6" i="12"/>
  <c r="AT6" i="10"/>
  <c r="AT9" i="10" s="1"/>
  <c r="AT14" i="10" s="1"/>
  <c r="AT29" i="10" s="1"/>
  <c r="AU26" i="9"/>
  <c r="AT20" i="9"/>
  <c r="AT19" i="9"/>
  <c r="AU6" i="9" l="1"/>
  <c r="AU11" i="9" s="1"/>
  <c r="AU51" i="8"/>
  <c r="AU26" i="10"/>
  <c r="AT11" i="12"/>
  <c r="AT28" i="9"/>
  <c r="AT12" i="12" s="1"/>
  <c r="AX66" i="4"/>
  <c r="AX7" i="12" s="1"/>
  <c r="AY46" i="4"/>
  <c r="AY75" i="4"/>
  <c r="AV18" i="10"/>
  <c r="AV19" i="10" s="1"/>
  <c r="AV22" i="10" s="1"/>
  <c r="AV10" i="9"/>
  <c r="AW98" i="4"/>
  <c r="AV42" i="8"/>
  <c r="AV17" i="8"/>
  <c r="AV9" i="12" s="1"/>
  <c r="AX5" i="12"/>
  <c r="AX15" i="12" s="1"/>
  <c r="AX97" i="4"/>
  <c r="AX99" i="4" s="1"/>
  <c r="AX96" i="4"/>
  <c r="AX92" i="4"/>
  <c r="AX8" i="9" l="1"/>
  <c r="AX7" i="10"/>
  <c r="AV43" i="8"/>
  <c r="AV10" i="12" s="1"/>
  <c r="AV21" i="12" s="1"/>
  <c r="AV46" i="8"/>
  <c r="AV48" i="8" s="1"/>
  <c r="AX20" i="12"/>
  <c r="AX6" i="12"/>
  <c r="AV16" i="12"/>
  <c r="AV18" i="12" s="1"/>
  <c r="AV19" i="12"/>
  <c r="AW100" i="4"/>
  <c r="AW102" i="4" s="1"/>
  <c r="AW101" i="4"/>
  <c r="AY48" i="4"/>
  <c r="AY76" i="4" s="1"/>
  <c r="AY49" i="4"/>
  <c r="AU18" i="9"/>
  <c r="AU25" i="9"/>
  <c r="AU27" i="9" s="1"/>
  <c r="AU27" i="10"/>
  <c r="AU28" i="10" s="1"/>
  <c r="AU6" i="10" l="1"/>
  <c r="AU9" i="10" s="1"/>
  <c r="AU14" i="10" s="1"/>
  <c r="AU29" i="10" s="1"/>
  <c r="AV26" i="9"/>
  <c r="AW18" i="10"/>
  <c r="AW19" i="10" s="1"/>
  <c r="AW22" i="10" s="1"/>
  <c r="AW10" i="9"/>
  <c r="AX98" i="4"/>
  <c r="AU20" i="9"/>
  <c r="AU19" i="9"/>
  <c r="AW6" i="8"/>
  <c r="AW8" i="8" s="1"/>
  <c r="AW16" i="8" s="1"/>
  <c r="AW105" i="4"/>
  <c r="AY77" i="4"/>
  <c r="AY93" i="4"/>
  <c r="AY8" i="12" s="1"/>
  <c r="AV49" i="8"/>
  <c r="AV50" i="8" s="1"/>
  <c r="AY66" i="4"/>
  <c r="AY7" i="12" s="1"/>
  <c r="AZ46" i="4"/>
  <c r="AV51" i="8" l="1"/>
  <c r="AV6" i="9"/>
  <c r="AV11" i="9" s="1"/>
  <c r="AV26" i="10"/>
  <c r="AZ48" i="4"/>
  <c r="AZ76" i="4" s="1"/>
  <c r="AU11" i="12"/>
  <c r="AU28" i="9"/>
  <c r="AU12" i="12" s="1"/>
  <c r="AY91" i="4"/>
  <c r="AZ73" i="4"/>
  <c r="AW42" i="8"/>
  <c r="AW17" i="8"/>
  <c r="AW9" i="12" s="1"/>
  <c r="AX101" i="4"/>
  <c r="AX100" i="4"/>
  <c r="AX102" i="4" s="1"/>
  <c r="AX18" i="10" l="1"/>
  <c r="AX19" i="10" s="1"/>
  <c r="AX22" i="10" s="1"/>
  <c r="AX10" i="9"/>
  <c r="AY98" i="4"/>
  <c r="AW16" i="12"/>
  <c r="AW18" i="12" s="1"/>
  <c r="AW19" i="12"/>
  <c r="AW46" i="8"/>
  <c r="AW48" i="8" s="1"/>
  <c r="AW43" i="8"/>
  <c r="AW10" i="12" s="1"/>
  <c r="AW21" i="12" s="1"/>
  <c r="AZ75" i="4"/>
  <c r="AZ77" i="4" s="1"/>
  <c r="AZ93" i="4"/>
  <c r="AZ8" i="12" s="1"/>
  <c r="AY5" i="12"/>
  <c r="AY15" i="12" s="1"/>
  <c r="AY97" i="4"/>
  <c r="AY99" i="4" s="1"/>
  <c r="AY92" i="4"/>
  <c r="AY96" i="4"/>
  <c r="AV27" i="10"/>
  <c r="AV28" i="10" s="1"/>
  <c r="AX105" i="4"/>
  <c r="AX6" i="8"/>
  <c r="AX8" i="8" s="1"/>
  <c r="AX16" i="8" s="1"/>
  <c r="AZ49" i="4"/>
  <c r="AV18" i="9"/>
  <c r="AV25" i="9"/>
  <c r="AV27" i="9" s="1"/>
  <c r="AZ91" i="4" l="1"/>
  <c r="BA73" i="4"/>
  <c r="AX42" i="8"/>
  <c r="AX17" i="8"/>
  <c r="AX9" i="12" s="1"/>
  <c r="AV20" i="9"/>
  <c r="AV19" i="9"/>
  <c r="AZ66" i="4"/>
  <c r="AZ7" i="12" s="1"/>
  <c r="BA46" i="4"/>
  <c r="AY20" i="12"/>
  <c r="AY6" i="12"/>
  <c r="AV6" i="10"/>
  <c r="AV9" i="10" s="1"/>
  <c r="AV14" i="10" s="1"/>
  <c r="AV29" i="10" s="1"/>
  <c r="AW26" i="9"/>
  <c r="AW49" i="8"/>
  <c r="AW50" i="8" s="1"/>
  <c r="AY8" i="9"/>
  <c r="AY7" i="10"/>
  <c r="AY101" i="4"/>
  <c r="AY100" i="4"/>
  <c r="AY102" i="4" s="1"/>
  <c r="AY105" i="4" l="1"/>
  <c r="AY6" i="8"/>
  <c r="AY8" i="8" s="1"/>
  <c r="AY16" i="8" s="1"/>
  <c r="AW51" i="8"/>
  <c r="AW6" i="9"/>
  <c r="AW11" i="9" s="1"/>
  <c r="AW26" i="10"/>
  <c r="AY18" i="10"/>
  <c r="AY19" i="10" s="1"/>
  <c r="AY22" i="10" s="1"/>
  <c r="AY10" i="9"/>
  <c r="AZ98" i="4"/>
  <c r="BA48" i="4"/>
  <c r="BA76" i="4" s="1"/>
  <c r="BA77" i="4" s="1"/>
  <c r="AV11" i="12"/>
  <c r="AV28" i="9"/>
  <c r="AV12" i="12" s="1"/>
  <c r="AX19" i="12"/>
  <c r="AX16" i="12"/>
  <c r="AX18" i="12" s="1"/>
  <c r="AX43" i="8"/>
  <c r="AX10" i="12" s="1"/>
  <c r="AX21" i="12" s="1"/>
  <c r="AX46" i="8"/>
  <c r="AX48" i="8" s="1"/>
  <c r="BA75" i="4"/>
  <c r="BA93" i="4" s="1"/>
  <c r="BA8" i="12" s="1"/>
  <c r="AZ5" i="12"/>
  <c r="AZ15" i="12" s="1"/>
  <c r="AZ97" i="4"/>
  <c r="AZ99" i="4" s="1"/>
  <c r="AZ96" i="4"/>
  <c r="AZ92" i="4"/>
  <c r="BA91" i="4" l="1"/>
  <c r="BB73" i="4"/>
  <c r="AZ20" i="12"/>
  <c r="AZ6" i="12"/>
  <c r="AZ7" i="10"/>
  <c r="AZ8" i="9"/>
  <c r="AX50" i="8"/>
  <c r="AX49" i="8"/>
  <c r="BA49" i="4"/>
  <c r="AZ100" i="4"/>
  <c r="AZ102" i="4" s="1"/>
  <c r="AX26" i="10"/>
  <c r="AW27" i="10"/>
  <c r="AW28" i="10" s="1"/>
  <c r="AW18" i="9"/>
  <c r="AW25" i="9"/>
  <c r="AW27" i="9" s="1"/>
  <c r="AY42" i="8"/>
  <c r="AY17" i="8"/>
  <c r="AY9" i="12" s="1"/>
  <c r="AZ6" i="8" l="1"/>
  <c r="AZ8" i="8" s="1"/>
  <c r="AZ16" i="8" s="1"/>
  <c r="AZ105" i="4"/>
  <c r="AW6" i="10"/>
  <c r="AW9" i="10" s="1"/>
  <c r="AW14" i="10" s="1"/>
  <c r="AW29" i="10" s="1"/>
  <c r="AX26" i="9"/>
  <c r="AY43" i="8"/>
  <c r="AY10" i="12" s="1"/>
  <c r="AY21" i="12" s="1"/>
  <c r="AY46" i="8"/>
  <c r="AY48" i="8" s="1"/>
  <c r="BA66" i="4"/>
  <c r="BA7" i="12" s="1"/>
  <c r="BB46" i="4"/>
  <c r="AX51" i="8"/>
  <c r="AX6" i="9"/>
  <c r="AX11" i="9" s="1"/>
  <c r="AY19" i="12"/>
  <c r="AY16" i="12"/>
  <c r="AY18" i="12" s="1"/>
  <c r="AX27" i="10"/>
  <c r="AX28" i="10" s="1"/>
  <c r="AZ101" i="4"/>
  <c r="AW20" i="9"/>
  <c r="AW19" i="9"/>
  <c r="BB75" i="4"/>
  <c r="BA5" i="12"/>
  <c r="BA15" i="12" s="1"/>
  <c r="BA96" i="4"/>
  <c r="BA92" i="4"/>
  <c r="BA97" i="4"/>
  <c r="BA99" i="4" s="1"/>
  <c r="BA20" i="12" l="1"/>
  <c r="BA6" i="12"/>
  <c r="AZ18" i="10"/>
  <c r="AZ19" i="10" s="1"/>
  <c r="AZ22" i="10" s="1"/>
  <c r="AZ10" i="9"/>
  <c r="BA98" i="4"/>
  <c r="BB48" i="4"/>
  <c r="BB76" i="4" s="1"/>
  <c r="AY49" i="8"/>
  <c r="AY50" i="8" s="1"/>
  <c r="BA7" i="10"/>
  <c r="BA8" i="9"/>
  <c r="AW11" i="12"/>
  <c r="AW28" i="9"/>
  <c r="AW12" i="12" s="1"/>
  <c r="AX25" i="9"/>
  <c r="AX18" i="9"/>
  <c r="AX27" i="9"/>
  <c r="AZ42" i="8"/>
  <c r="AZ17" i="8"/>
  <c r="AZ9" i="12" s="1"/>
  <c r="AY51" i="8" l="1"/>
  <c r="AY6" i="9"/>
  <c r="AY11" i="9" s="1"/>
  <c r="AY26" i="10"/>
  <c r="AX19" i="9"/>
  <c r="AX20" i="9"/>
  <c r="AZ46" i="8"/>
  <c r="AZ48" i="8" s="1"/>
  <c r="AZ43" i="8"/>
  <c r="AZ10" i="12" s="1"/>
  <c r="AZ21" i="12" s="1"/>
  <c r="AZ16" i="12"/>
  <c r="AZ18" i="12" s="1"/>
  <c r="AZ19" i="12"/>
  <c r="AX6" i="10"/>
  <c r="AX9" i="10" s="1"/>
  <c r="AX14" i="10" s="1"/>
  <c r="AX29" i="10" s="1"/>
  <c r="AY26" i="9"/>
  <c r="BB77" i="4"/>
  <c r="BB93" i="4"/>
  <c r="BB8" i="12" s="1"/>
  <c r="BB49" i="4"/>
  <c r="BA101" i="4"/>
  <c r="BA100" i="4"/>
  <c r="BA102" i="4" s="1"/>
  <c r="BA105" i="4" l="1"/>
  <c r="BA6" i="8"/>
  <c r="BA8" i="8" s="1"/>
  <c r="BA16" i="8" s="1"/>
  <c r="BB91" i="4"/>
  <c r="BC73" i="4"/>
  <c r="BB66" i="4"/>
  <c r="BB7" i="12" s="1"/>
  <c r="BC46" i="4"/>
  <c r="BA18" i="10"/>
  <c r="BA19" i="10" s="1"/>
  <c r="BA22" i="10" s="1"/>
  <c r="BA10" i="9"/>
  <c r="BB98" i="4"/>
  <c r="AZ49" i="8"/>
  <c r="AZ50" i="8"/>
  <c r="AX11" i="12"/>
  <c r="AX28" i="9"/>
  <c r="AX12" i="12" s="1"/>
  <c r="AY27" i="9"/>
  <c r="AZ26" i="10"/>
  <c r="AY27" i="10"/>
  <c r="AY28" i="10" s="1"/>
  <c r="AY25" i="9"/>
  <c r="AY18" i="9"/>
  <c r="AY19" i="9" l="1"/>
  <c r="AY20" i="9"/>
  <c r="AZ27" i="10"/>
  <c r="AZ28" i="10" s="1"/>
  <c r="AY6" i="10"/>
  <c r="AY9" i="10" s="1"/>
  <c r="AY14" i="10" s="1"/>
  <c r="AY29" i="10" s="1"/>
  <c r="AZ26" i="9"/>
  <c r="AZ51" i="8"/>
  <c r="AZ6" i="9"/>
  <c r="AZ11" i="9" s="1"/>
  <c r="BA42" i="8"/>
  <c r="BA17" i="8"/>
  <c r="BA9" i="12" s="1"/>
  <c r="BC48" i="4"/>
  <c r="BC76" i="4" s="1"/>
  <c r="BC75" i="4"/>
  <c r="BC93" i="4" s="1"/>
  <c r="BC8" i="12" s="1"/>
  <c r="BC77" i="4"/>
  <c r="BB5" i="12"/>
  <c r="BB15" i="12" s="1"/>
  <c r="BB96" i="4"/>
  <c r="BB92" i="4"/>
  <c r="BB97" i="4"/>
  <c r="BB99" i="4" s="1"/>
  <c r="BC91" i="4" l="1"/>
  <c r="BD73" i="4"/>
  <c r="BB7" i="10"/>
  <c r="BB8" i="9"/>
  <c r="BC49" i="4"/>
  <c r="BB100" i="4"/>
  <c r="BB101" i="4" s="1"/>
  <c r="BA43" i="8"/>
  <c r="BA10" i="12" s="1"/>
  <c r="BA21" i="12" s="1"/>
  <c r="BA46" i="8"/>
  <c r="BA48" i="8" s="1"/>
  <c r="AZ25" i="9"/>
  <c r="AZ27" i="9" s="1"/>
  <c r="AZ18" i="9"/>
  <c r="BB20" i="12"/>
  <c r="BB6" i="12"/>
  <c r="BA16" i="12"/>
  <c r="BA18" i="12" s="1"/>
  <c r="BA19" i="12"/>
  <c r="AY11" i="12"/>
  <c r="AY28" i="9"/>
  <c r="AY12" i="12" s="1"/>
  <c r="AZ6" i="10" l="1"/>
  <c r="AZ9" i="10" s="1"/>
  <c r="AZ14" i="10" s="1"/>
  <c r="AZ29" i="10" s="1"/>
  <c r="BA26" i="9"/>
  <c r="BB18" i="10"/>
  <c r="BB19" i="10" s="1"/>
  <c r="BB22" i="10" s="1"/>
  <c r="BB10" i="9"/>
  <c r="BC98" i="4"/>
  <c r="AZ19" i="9"/>
  <c r="AZ20" i="9"/>
  <c r="BA49" i="8"/>
  <c r="BA50" i="8" s="1"/>
  <c r="BC66" i="4"/>
  <c r="BC7" i="12" s="1"/>
  <c r="BD46" i="4"/>
  <c r="BB102" i="4"/>
  <c r="BC5" i="12"/>
  <c r="BC96" i="4"/>
  <c r="BC92" i="4"/>
  <c r="BC97" i="4"/>
  <c r="BC99" i="4" s="1"/>
  <c r="BD75" i="4"/>
  <c r="BA51" i="8" l="1"/>
  <c r="BA6" i="9"/>
  <c r="BA11" i="9" s="1"/>
  <c r="BA26" i="10"/>
  <c r="BC20" i="12"/>
  <c r="BC6" i="12"/>
  <c r="BB6" i="8"/>
  <c r="BB8" i="8" s="1"/>
  <c r="BB16" i="8" s="1"/>
  <c r="BB105" i="4"/>
  <c r="BC7" i="10"/>
  <c r="BC8" i="9"/>
  <c r="BD48" i="4"/>
  <c r="BD76" i="4" s="1"/>
  <c r="AZ11" i="12"/>
  <c r="AZ28" i="9"/>
  <c r="AZ12" i="12" s="1"/>
  <c r="BC15" i="12"/>
  <c r="BC100" i="4"/>
  <c r="BC102" i="4" s="1"/>
  <c r="BC6" i="8" l="1"/>
  <c r="BC8" i="8" s="1"/>
  <c r="BC16" i="8" s="1"/>
  <c r="BC105" i="4"/>
  <c r="BC101" i="4"/>
  <c r="BD77" i="4"/>
  <c r="BD93" i="4"/>
  <c r="BD8" i="12" s="1"/>
  <c r="BD49" i="4"/>
  <c r="BB42" i="8"/>
  <c r="BB17" i="8"/>
  <c r="BB9" i="12" s="1"/>
  <c r="BA27" i="10"/>
  <c r="BA28" i="10" s="1"/>
  <c r="BA25" i="9"/>
  <c r="BA27" i="9" s="1"/>
  <c r="BA18" i="9"/>
  <c r="BA19" i="9" l="1"/>
  <c r="BA20" i="9"/>
  <c r="BB26" i="9"/>
  <c r="BA6" i="10"/>
  <c r="BA9" i="10" s="1"/>
  <c r="BA14" i="10" s="1"/>
  <c r="BA29" i="10" s="1"/>
  <c r="BB16" i="12"/>
  <c r="BB18" i="12" s="1"/>
  <c r="BB19" i="12"/>
  <c r="BE46" i="4"/>
  <c r="BD66" i="4"/>
  <c r="BD7" i="12" s="1"/>
  <c r="BB46" i="8"/>
  <c r="BB48" i="8" s="1"/>
  <c r="BB43" i="8"/>
  <c r="BB10" i="12" s="1"/>
  <c r="BB21" i="12" s="1"/>
  <c r="BE73" i="4"/>
  <c r="BD91" i="4"/>
  <c r="BC18" i="10"/>
  <c r="BC19" i="10" s="1"/>
  <c r="BC22" i="10" s="1"/>
  <c r="BC10" i="9"/>
  <c r="BD98" i="4"/>
  <c r="BC42" i="8"/>
  <c r="BC17" i="8"/>
  <c r="BC9" i="12" s="1"/>
  <c r="BC46" i="8" l="1"/>
  <c r="BC48" i="8" s="1"/>
  <c r="BC43" i="8"/>
  <c r="BC10" i="12" s="1"/>
  <c r="BC21" i="12" s="1"/>
  <c r="BB49" i="8"/>
  <c r="BB50" i="8"/>
  <c r="BC16" i="12"/>
  <c r="BC18" i="12" s="1"/>
  <c r="BC19" i="12"/>
  <c r="BE75" i="4"/>
  <c r="BE77" i="4" s="1"/>
  <c r="BD5" i="12"/>
  <c r="BD15" i="12" s="1"/>
  <c r="BD92" i="4"/>
  <c r="BD97" i="4"/>
  <c r="BD99" i="4" s="1"/>
  <c r="BD100" i="4" s="1"/>
  <c r="BD101" i="4" s="1"/>
  <c r="BD96" i="4"/>
  <c r="BE48" i="4"/>
  <c r="BE76" i="4" s="1"/>
  <c r="BE93" i="4" s="1"/>
  <c r="BE8" i="12" s="1"/>
  <c r="BA11" i="12"/>
  <c r="BA28" i="9"/>
  <c r="BA12" i="12" s="1"/>
  <c r="BD18" i="10" l="1"/>
  <c r="BD19" i="10" s="1"/>
  <c r="BD22" i="10" s="1"/>
  <c r="BD10" i="9"/>
  <c r="BE98" i="4"/>
  <c r="BF73" i="4"/>
  <c r="BE91" i="4"/>
  <c r="BD7" i="10"/>
  <c r="BD8" i="9"/>
  <c r="BD102" i="4"/>
  <c r="BB51" i="8"/>
  <c r="BB6" i="9"/>
  <c r="BB11" i="9" s="1"/>
  <c r="BB26" i="10"/>
  <c r="BE49" i="4"/>
  <c r="BD20" i="12"/>
  <c r="BD6" i="12"/>
  <c r="BC49" i="8"/>
  <c r="BC50" i="8" s="1"/>
  <c r="BC51" i="8" l="1"/>
  <c r="BC6" i="9"/>
  <c r="BC11" i="9" s="1"/>
  <c r="BF46" i="4"/>
  <c r="BE66" i="4"/>
  <c r="BE7" i="12" s="1"/>
  <c r="BB18" i="9"/>
  <c r="BB25" i="9"/>
  <c r="BB27" i="9" s="1"/>
  <c r="BD6" i="8"/>
  <c r="BD8" i="8" s="1"/>
  <c r="BD16" i="8" s="1"/>
  <c r="BD105" i="4"/>
  <c r="BC26" i="10"/>
  <c r="BB27" i="10"/>
  <c r="BB28" i="10" s="1"/>
  <c r="BE5" i="12"/>
  <c r="BE15" i="12" s="1"/>
  <c r="BE92" i="4"/>
  <c r="BE97" i="4"/>
  <c r="BE99" i="4" s="1"/>
  <c r="BE100" i="4" s="1"/>
  <c r="BE96" i="4"/>
  <c r="BF75" i="4"/>
  <c r="BE20" i="12" l="1"/>
  <c r="BE6" i="12"/>
  <c r="BC27" i="10"/>
  <c r="BC28" i="10" s="1"/>
  <c r="BE8" i="9"/>
  <c r="BE7" i="10"/>
  <c r="BE102" i="4"/>
  <c r="BB6" i="10"/>
  <c r="BB9" i="10" s="1"/>
  <c r="BB14" i="10" s="1"/>
  <c r="BB29" i="10" s="1"/>
  <c r="BC26" i="9"/>
  <c r="BD17" i="8"/>
  <c r="BD9" i="12" s="1"/>
  <c r="BD42" i="8"/>
  <c r="BE101" i="4"/>
  <c r="BC18" i="9"/>
  <c r="BC25" i="9"/>
  <c r="BB19" i="9"/>
  <c r="BB20" i="9"/>
  <c r="BF49" i="4"/>
  <c r="BF48" i="4"/>
  <c r="BF76" i="4" s="1"/>
  <c r="BF93" i="4" s="1"/>
  <c r="BF8" i="12" s="1"/>
  <c r="BB11" i="12" l="1"/>
  <c r="BB28" i="9"/>
  <c r="BB12" i="12" s="1"/>
  <c r="BD46" i="8"/>
  <c r="BD48" i="8" s="1"/>
  <c r="BD43" i="8"/>
  <c r="BD10" i="12" s="1"/>
  <c r="BD21" i="12" s="1"/>
  <c r="BC19" i="9"/>
  <c r="BC20" i="9"/>
  <c r="BD16" i="12"/>
  <c r="BD18" i="12" s="1"/>
  <c r="BD19" i="12"/>
  <c r="BE18" i="10"/>
  <c r="BE19" i="10" s="1"/>
  <c r="BE22" i="10" s="1"/>
  <c r="BE10" i="9"/>
  <c r="BF98" i="4"/>
  <c r="BC27" i="9"/>
  <c r="BE6" i="8"/>
  <c r="BE8" i="8" s="1"/>
  <c r="BE16" i="8" s="1"/>
  <c r="BE105" i="4"/>
  <c r="BG46" i="4"/>
  <c r="BF66" i="4"/>
  <c r="BF7" i="12" s="1"/>
  <c r="BF77" i="4"/>
  <c r="BG48" i="4" l="1"/>
  <c r="BG76" i="4" s="1"/>
  <c r="BC11" i="12"/>
  <c r="BC28" i="9"/>
  <c r="BC12" i="12" s="1"/>
  <c r="BE17" i="8"/>
  <c r="BE9" i="12" s="1"/>
  <c r="BE42" i="8"/>
  <c r="BG73" i="4"/>
  <c r="BF91" i="4"/>
  <c r="BD26" i="9"/>
  <c r="BC6" i="10"/>
  <c r="BC9" i="10" s="1"/>
  <c r="BC14" i="10" s="1"/>
  <c r="BC29" i="10" s="1"/>
  <c r="BD49" i="8"/>
  <c r="BD50" i="8"/>
  <c r="BF5" i="12" l="1"/>
  <c r="BF15" i="12" s="1"/>
  <c r="BF92" i="4"/>
  <c r="BF97" i="4"/>
  <c r="BF99" i="4" s="1"/>
  <c r="BF96" i="4"/>
  <c r="BE46" i="8"/>
  <c r="BE48" i="8" s="1"/>
  <c r="BE43" i="8"/>
  <c r="BE10" i="12" s="1"/>
  <c r="BE21" i="12" s="1"/>
  <c r="BD51" i="8"/>
  <c r="BD6" i="9"/>
  <c r="BD11" i="9" s="1"/>
  <c r="BD26" i="10"/>
  <c r="BG75" i="4"/>
  <c r="BG77" i="4" s="1"/>
  <c r="BE19" i="12"/>
  <c r="BE16" i="12"/>
  <c r="BE18" i="12" s="1"/>
  <c r="BG49" i="4"/>
  <c r="BG91" i="4" l="1"/>
  <c r="BH73" i="4"/>
  <c r="BH46" i="4"/>
  <c r="BG66" i="4"/>
  <c r="BG7" i="12" s="1"/>
  <c r="BG93" i="4"/>
  <c r="BG8" i="12" s="1"/>
  <c r="BD18" i="9"/>
  <c r="BD25" i="9"/>
  <c r="BD27" i="9" s="1"/>
  <c r="BF20" i="12"/>
  <c r="BF6" i="12"/>
  <c r="BD27" i="10"/>
  <c r="BD28" i="10" s="1"/>
  <c r="BE49" i="8"/>
  <c r="BE50" i="8" s="1"/>
  <c r="BF8" i="9"/>
  <c r="BF7" i="10"/>
  <c r="BF102" i="4"/>
  <c r="BF101" i="4"/>
  <c r="BF100" i="4"/>
  <c r="BE51" i="8" l="1"/>
  <c r="BE6" i="9"/>
  <c r="BE11" i="9" s="1"/>
  <c r="BE26" i="10"/>
  <c r="BF6" i="8"/>
  <c r="BF8" i="8" s="1"/>
  <c r="BF16" i="8" s="1"/>
  <c r="BF105" i="4"/>
  <c r="BF10" i="9"/>
  <c r="BF18" i="10"/>
  <c r="BF19" i="10" s="1"/>
  <c r="BF22" i="10" s="1"/>
  <c r="BG98" i="4"/>
  <c r="BE26" i="9"/>
  <c r="BD6" i="10"/>
  <c r="BD9" i="10" s="1"/>
  <c r="BD14" i="10" s="1"/>
  <c r="BD29" i="10" s="1"/>
  <c r="BD19" i="9"/>
  <c r="BD20" i="9"/>
  <c r="BH75" i="4"/>
  <c r="BH93" i="4" s="1"/>
  <c r="BH8" i="12" s="1"/>
  <c r="BH48" i="4"/>
  <c r="BH76" i="4" s="1"/>
  <c r="BG5" i="12"/>
  <c r="BG15" i="12" s="1"/>
  <c r="BG92" i="4"/>
  <c r="BG97" i="4"/>
  <c r="BG99" i="4" s="1"/>
  <c r="BG96" i="4"/>
  <c r="BH49" i="4" l="1"/>
  <c r="BG8" i="9"/>
  <c r="BG7" i="10"/>
  <c r="BG20" i="12"/>
  <c r="BG6" i="12"/>
  <c r="BH77" i="4"/>
  <c r="BE18" i="9"/>
  <c r="BE25" i="9"/>
  <c r="BD11" i="12"/>
  <c r="BD28" i="9"/>
  <c r="BD12" i="12" s="1"/>
  <c r="BE27" i="9"/>
  <c r="BG100" i="4"/>
  <c r="BG102" i="4" s="1"/>
  <c r="BF17" i="8"/>
  <c r="BF9" i="12" s="1"/>
  <c r="BF42" i="8"/>
  <c r="BE27" i="10"/>
  <c r="BE28" i="10" s="1"/>
  <c r="BG6" i="8" l="1"/>
  <c r="BG8" i="8" s="1"/>
  <c r="BG16" i="8" s="1"/>
  <c r="BG105" i="4"/>
  <c r="BF19" i="12"/>
  <c r="BF16" i="12"/>
  <c r="BF18" i="12" s="1"/>
  <c r="BG101" i="4"/>
  <c r="BE6" i="10"/>
  <c r="BE9" i="10" s="1"/>
  <c r="BE14" i="10" s="1"/>
  <c r="BE29" i="10" s="1"/>
  <c r="BF26" i="9"/>
  <c r="BE19" i="9"/>
  <c r="BE20" i="9"/>
  <c r="BF46" i="8"/>
  <c r="BF48" i="8" s="1"/>
  <c r="BF43" i="8"/>
  <c r="BF10" i="12" s="1"/>
  <c r="BF21" i="12" s="1"/>
  <c r="BH91" i="4"/>
  <c r="BI73" i="4"/>
  <c r="BI46" i="4"/>
  <c r="BH66" i="4"/>
  <c r="BH7" i="12" s="1"/>
  <c r="BI48" i="4" l="1"/>
  <c r="BI76" i="4" s="1"/>
  <c r="BI75" i="4"/>
  <c r="BI77" i="4" s="1"/>
  <c r="BG10" i="9"/>
  <c r="BG18" i="10"/>
  <c r="BG19" i="10" s="1"/>
  <c r="BG22" i="10" s="1"/>
  <c r="BH98" i="4"/>
  <c r="BH5" i="12"/>
  <c r="BH15" i="12" s="1"/>
  <c r="BH92" i="4"/>
  <c r="BH96" i="4"/>
  <c r="BH97" i="4"/>
  <c r="BH99" i="4" s="1"/>
  <c r="BF49" i="8"/>
  <c r="BF50" i="8"/>
  <c r="BE11" i="12"/>
  <c r="BE28" i="9"/>
  <c r="BE12" i="12" s="1"/>
  <c r="BG17" i="8"/>
  <c r="BG9" i="12" s="1"/>
  <c r="BG42" i="8"/>
  <c r="BI91" i="4" l="1"/>
  <c r="BJ73" i="4"/>
  <c r="BG46" i="8"/>
  <c r="BG48" i="8" s="1"/>
  <c r="BG43" i="8"/>
  <c r="BG10" i="12" s="1"/>
  <c r="BG21" i="12" s="1"/>
  <c r="BF6" i="9"/>
  <c r="BF11" i="9" s="1"/>
  <c r="BF51" i="8"/>
  <c r="BF26" i="10"/>
  <c r="BH8" i="9"/>
  <c r="BH7" i="10"/>
  <c r="BH20" i="12"/>
  <c r="BH6" i="12"/>
  <c r="BH100" i="4"/>
  <c r="BH102" i="4" s="1"/>
  <c r="BH101" i="4"/>
  <c r="BG19" i="12"/>
  <c r="BG16" i="12"/>
  <c r="BG18" i="12" s="1"/>
  <c r="BI93" i="4"/>
  <c r="BI8" i="12" s="1"/>
  <c r="BI49" i="4"/>
  <c r="BH6" i="8" l="1"/>
  <c r="BH8" i="8" s="1"/>
  <c r="BH16" i="8" s="1"/>
  <c r="BH105" i="4"/>
  <c r="BH10" i="9"/>
  <c r="BH18" i="10"/>
  <c r="BH19" i="10" s="1"/>
  <c r="BH22" i="10" s="1"/>
  <c r="BI98" i="4"/>
  <c r="BI66" i="4"/>
  <c r="BI7" i="12" s="1"/>
  <c r="BJ46" i="4"/>
  <c r="BF25" i="9"/>
  <c r="BF27" i="9" s="1"/>
  <c r="BF18" i="9"/>
  <c r="BJ75" i="4"/>
  <c r="BF27" i="10"/>
  <c r="BF28" i="10" s="1"/>
  <c r="BG49" i="8"/>
  <c r="BG50" i="8" s="1"/>
  <c r="BI5" i="12"/>
  <c r="BI15" i="12" s="1"/>
  <c r="BI97" i="4"/>
  <c r="BI99" i="4" s="1"/>
  <c r="BI92" i="4"/>
  <c r="BI96" i="4"/>
  <c r="BG6" i="9" l="1"/>
  <c r="BG11" i="9" s="1"/>
  <c r="BG51" i="8"/>
  <c r="BG26" i="10"/>
  <c r="BI8" i="9"/>
  <c r="BI7" i="10"/>
  <c r="BI20" i="12"/>
  <c r="BI6" i="12"/>
  <c r="BJ49" i="4"/>
  <c r="BJ66" i="4" s="1"/>
  <c r="BJ7" i="12" s="1"/>
  <c r="BJ48" i="4"/>
  <c r="BF20" i="9"/>
  <c r="BF19" i="9"/>
  <c r="BF6" i="10"/>
  <c r="BF9" i="10" s="1"/>
  <c r="BF14" i="10" s="1"/>
  <c r="BF29" i="10" s="1"/>
  <c r="BG26" i="9"/>
  <c r="BI100" i="4"/>
  <c r="BI102" i="4" s="1"/>
  <c r="BH17" i="8"/>
  <c r="BH9" i="12" s="1"/>
  <c r="BH42" i="8"/>
  <c r="BI6" i="8" l="1"/>
  <c r="BI8" i="8" s="1"/>
  <c r="BI16" i="8" s="1"/>
  <c r="BI105" i="4"/>
  <c r="BF28" i="9"/>
  <c r="BF12" i="12" s="1"/>
  <c r="BF11" i="12"/>
  <c r="BI101" i="4"/>
  <c r="BJ76" i="4"/>
  <c r="BP48" i="4"/>
  <c r="BO48" i="4"/>
  <c r="BM48" i="4"/>
  <c r="BL48" i="4"/>
  <c r="BK48" i="4"/>
  <c r="BN48" i="4"/>
  <c r="BH16" i="12"/>
  <c r="BH18" i="12" s="1"/>
  <c r="BH19" i="12"/>
  <c r="BG27" i="10"/>
  <c r="BG28" i="10" s="1"/>
  <c r="BH46" i="8"/>
  <c r="BH48" i="8" s="1"/>
  <c r="BH43" i="8"/>
  <c r="BH10" i="12" s="1"/>
  <c r="BH21" i="12" s="1"/>
  <c r="BG25" i="9"/>
  <c r="BG27" i="9" s="1"/>
  <c r="BG18" i="9"/>
  <c r="BH26" i="9" l="1"/>
  <c r="BG6" i="10"/>
  <c r="BG9" i="10" s="1"/>
  <c r="BG14" i="10" s="1"/>
  <c r="BG29" i="10" s="1"/>
  <c r="BG20" i="9"/>
  <c r="BG19" i="9"/>
  <c r="BH49" i="8"/>
  <c r="BH50" i="8"/>
  <c r="BI18" i="10"/>
  <c r="BI19" i="10" s="1"/>
  <c r="BI22" i="10" s="1"/>
  <c r="BI10" i="9"/>
  <c r="BJ98" i="4"/>
  <c r="BJ93" i="4"/>
  <c r="BJ77" i="4"/>
  <c r="BJ91" i="4" s="1"/>
  <c r="BI42" i="8"/>
  <c r="BI17" i="8"/>
  <c r="BI9" i="12" s="1"/>
  <c r="BI46" i="8" l="1"/>
  <c r="BI48" i="8" s="1"/>
  <c r="BI43" i="8"/>
  <c r="BI10" i="12" s="1"/>
  <c r="BI21" i="12" s="1"/>
  <c r="BI16" i="12"/>
  <c r="BI18" i="12" s="1"/>
  <c r="BI19" i="12"/>
  <c r="BJ5" i="12"/>
  <c r="BJ15" i="12" s="1"/>
  <c r="BJ92" i="4"/>
  <c r="BJ96" i="4"/>
  <c r="BJ97" i="4"/>
  <c r="BJ8" i="12"/>
  <c r="BM93" i="4"/>
  <c r="BO93" i="4"/>
  <c r="BN93" i="4"/>
  <c r="BK93" i="4"/>
  <c r="BL93" i="4"/>
  <c r="BP93" i="4"/>
  <c r="BH6" i="9"/>
  <c r="BH11" i="9" s="1"/>
  <c r="BH51" i="8"/>
  <c r="BH26" i="10"/>
  <c r="BG11" i="12"/>
  <c r="BG28" i="9"/>
  <c r="BG12" i="12" s="1"/>
  <c r="BH27" i="10" l="1"/>
  <c r="BH28" i="10" s="1"/>
  <c r="BH25" i="9"/>
  <c r="BH27" i="9" s="1"/>
  <c r="BH18" i="9"/>
  <c r="BK8" i="12"/>
  <c r="BM8" i="12"/>
  <c r="BN8" i="12"/>
  <c r="BO8" i="12"/>
  <c r="BL8" i="12"/>
  <c r="BP8" i="12"/>
  <c r="BJ99" i="4"/>
  <c r="BM97" i="4"/>
  <c r="BP97" i="4"/>
  <c r="BN97" i="4"/>
  <c r="BK97" i="4"/>
  <c r="BO97" i="4"/>
  <c r="BL97" i="4"/>
  <c r="BJ20" i="12"/>
  <c r="BJ6" i="12"/>
  <c r="BJ8" i="9"/>
  <c r="BJ7" i="10"/>
  <c r="BN96" i="4"/>
  <c r="BP96" i="4"/>
  <c r="BM96" i="4"/>
  <c r="BO96" i="4"/>
  <c r="BL96" i="4"/>
  <c r="BK96" i="4"/>
  <c r="BL15" i="12"/>
  <c r="BN15" i="12"/>
  <c r="BM15" i="12"/>
  <c r="BK15" i="12"/>
  <c r="BO15" i="12"/>
  <c r="BP15" i="12"/>
  <c r="BI49" i="8"/>
  <c r="BI50" i="8"/>
  <c r="BI51" i="8" l="1"/>
  <c r="BI6" i="9"/>
  <c r="BI11" i="9" s="1"/>
  <c r="BP20" i="12"/>
  <c r="BN20" i="12"/>
  <c r="BO20" i="12"/>
  <c r="BM20" i="12"/>
  <c r="BL20" i="12"/>
  <c r="BK20" i="12"/>
  <c r="BJ100" i="4"/>
  <c r="BJ102" i="4" s="1"/>
  <c r="BH20" i="9"/>
  <c r="BH19" i="9"/>
  <c r="BH6" i="10"/>
  <c r="BH9" i="10" s="1"/>
  <c r="BH14" i="10" s="1"/>
  <c r="BH29" i="10" s="1"/>
  <c r="BI26" i="9"/>
  <c r="BI26" i="10"/>
  <c r="BI27" i="10" l="1"/>
  <c r="BI28" i="10" s="1"/>
  <c r="BH28" i="9"/>
  <c r="BH12" i="12" s="1"/>
  <c r="BH11" i="12"/>
  <c r="BJ6" i="8"/>
  <c r="BJ105" i="4"/>
  <c r="BL102" i="4"/>
  <c r="BN102" i="4"/>
  <c r="BM102" i="4"/>
  <c r="BK102" i="4"/>
  <c r="BP102" i="4"/>
  <c r="BO102" i="4"/>
  <c r="BJ101" i="4"/>
  <c r="BI18" i="9"/>
  <c r="BI25" i="9"/>
  <c r="BI27" i="9" s="1"/>
  <c r="BJ26" i="9" l="1"/>
  <c r="BI6" i="10"/>
  <c r="BI9" i="10" s="1"/>
  <c r="BI14" i="10" s="1"/>
  <c r="BI29" i="10" s="1"/>
  <c r="BI19" i="9"/>
  <c r="BI20" i="9"/>
  <c r="BJ18" i="10"/>
  <c r="BJ19" i="10" s="1"/>
  <c r="BJ22" i="10" s="1"/>
  <c r="BJ10" i="9"/>
  <c r="BN105" i="4"/>
  <c r="BL105" i="4"/>
  <c r="BP105" i="4"/>
  <c r="BK105" i="4"/>
  <c r="BO105" i="4"/>
  <c r="BM105" i="4"/>
  <c r="BJ8" i="8"/>
  <c r="BM6" i="8"/>
  <c r="E7" i="11" s="1"/>
  <c r="BO6" i="8"/>
  <c r="G7" i="11" s="1"/>
  <c r="BN6" i="8"/>
  <c r="F7" i="11" s="1"/>
  <c r="BP6" i="8"/>
  <c r="H7" i="11" s="1"/>
  <c r="BK6" i="8"/>
  <c r="C7" i="11" s="1"/>
  <c r="BL6" i="8"/>
  <c r="D7" i="11" s="1"/>
  <c r="BJ16" i="8" l="1"/>
  <c r="BP8" i="8"/>
  <c r="H9" i="11" s="1"/>
  <c r="BN8" i="8"/>
  <c r="F9" i="11" s="1"/>
  <c r="BL8" i="8"/>
  <c r="D9" i="11" s="1"/>
  <c r="BK8" i="8"/>
  <c r="C9" i="11" s="1"/>
  <c r="BO8" i="8"/>
  <c r="G9" i="11" s="1"/>
  <c r="BM8" i="8"/>
  <c r="E9" i="11" s="1"/>
  <c r="BI11" i="12"/>
  <c r="BI28" i="9"/>
  <c r="BI12" i="12" s="1"/>
  <c r="BJ42" i="8" l="1"/>
  <c r="BJ17" i="8"/>
  <c r="BN16" i="8"/>
  <c r="F13" i="11" s="1"/>
  <c r="BP16" i="8"/>
  <c r="H13" i="11" s="1"/>
  <c r="BM16" i="8"/>
  <c r="E13" i="11" s="1"/>
  <c r="BO16" i="8"/>
  <c r="G13" i="11" s="1"/>
  <c r="BK16" i="8"/>
  <c r="C13" i="11" s="1"/>
  <c r="BL16" i="8"/>
  <c r="D13" i="11" s="1"/>
  <c r="BJ9" i="12" l="1"/>
  <c r="BK17" i="8"/>
  <c r="C14" i="11" s="1"/>
  <c r="BM17" i="8"/>
  <c r="E14" i="11" s="1"/>
  <c r="BL17" i="8"/>
  <c r="D14" i="11" s="1"/>
  <c r="BO17" i="8"/>
  <c r="G14" i="11" s="1"/>
  <c r="BN17" i="8"/>
  <c r="F14" i="11" s="1"/>
  <c r="BP17" i="8"/>
  <c r="H14" i="11" s="1"/>
  <c r="BJ46" i="8"/>
  <c r="BJ43" i="8"/>
  <c r="BK42" i="8"/>
  <c r="C23" i="11" s="1"/>
  <c r="BM42" i="8"/>
  <c r="E23" i="11" s="1"/>
  <c r="BO42" i="8"/>
  <c r="G23" i="11" s="1"/>
  <c r="BL42" i="8"/>
  <c r="D23" i="11" s="1"/>
  <c r="BN42" i="8"/>
  <c r="F23" i="11" s="1"/>
  <c r="BP42" i="8"/>
  <c r="H23" i="11" s="1"/>
  <c r="BJ10" i="12" l="1"/>
  <c r="BL43" i="8"/>
  <c r="D24" i="11" s="1"/>
  <c r="BN43" i="8"/>
  <c r="F24" i="11" s="1"/>
  <c r="BK43" i="8"/>
  <c r="C24" i="11" s="1"/>
  <c r="BM43" i="8"/>
  <c r="E24" i="11" s="1"/>
  <c r="BP43" i="8"/>
  <c r="H24" i="11" s="1"/>
  <c r="BO43" i="8"/>
  <c r="G24" i="11" s="1"/>
  <c r="BJ48" i="8"/>
  <c r="BP46" i="8"/>
  <c r="H26" i="11" s="1"/>
  <c r="BL46" i="8"/>
  <c r="D26" i="11" s="1"/>
  <c r="BO46" i="8"/>
  <c r="G26" i="11" s="1"/>
  <c r="BN46" i="8"/>
  <c r="F26" i="11" s="1"/>
  <c r="BM46" i="8"/>
  <c r="E26" i="11" s="1"/>
  <c r="BK46" i="8"/>
  <c r="C26" i="11" s="1"/>
  <c r="BK9" i="12"/>
  <c r="BO9" i="12"/>
  <c r="BN9" i="12"/>
  <c r="BP9" i="12"/>
  <c r="BM9" i="12"/>
  <c r="BL9" i="12"/>
  <c r="BJ19" i="12"/>
  <c r="BJ16" i="12"/>
  <c r="BJ18" i="12" l="1"/>
  <c r="BK16" i="12"/>
  <c r="BO16" i="12"/>
  <c r="BM16" i="12"/>
  <c r="BL16" i="12"/>
  <c r="BN16" i="12"/>
  <c r="BP16" i="12"/>
  <c r="BP19" i="12"/>
  <c r="BN19" i="12"/>
  <c r="BO19" i="12"/>
  <c r="BM19" i="12"/>
  <c r="BL19" i="12"/>
  <c r="BK19" i="12"/>
  <c r="BJ49" i="8"/>
  <c r="BJ50" i="8"/>
  <c r="BN48" i="8"/>
  <c r="F28" i="11" s="1"/>
  <c r="BL48" i="8"/>
  <c r="D28" i="11" s="1"/>
  <c r="BK48" i="8"/>
  <c r="C28" i="11" s="1"/>
  <c r="BM48" i="8"/>
  <c r="E28" i="11" s="1"/>
  <c r="BO48" i="8"/>
  <c r="G28" i="11" s="1"/>
  <c r="BP48" i="8"/>
  <c r="H28" i="11" s="1"/>
  <c r="BN10" i="12"/>
  <c r="BO10" i="12"/>
  <c r="BL10" i="12"/>
  <c r="BP10" i="12"/>
  <c r="BK10" i="12"/>
  <c r="BM10" i="12"/>
  <c r="BJ21" i="12"/>
  <c r="BJ6" i="9" l="1"/>
  <c r="BJ11" i="9" s="1"/>
  <c r="BJ51" i="8"/>
  <c r="BN50" i="8"/>
  <c r="F30" i="11" s="1"/>
  <c r="BO50" i="8"/>
  <c r="G30" i="11" s="1"/>
  <c r="BP50" i="8"/>
  <c r="H30" i="11" s="1"/>
  <c r="BL50" i="8"/>
  <c r="D30" i="11" s="1"/>
  <c r="BM50" i="8"/>
  <c r="E30" i="11" s="1"/>
  <c r="BK50" i="8"/>
  <c r="C30" i="11" s="1"/>
  <c r="BJ26" i="10"/>
  <c r="BJ27" i="10" s="1"/>
  <c r="BJ28" i="10" s="1"/>
  <c r="BK49" i="8"/>
  <c r="C29" i="11" s="1"/>
  <c r="BP49" i="8"/>
  <c r="H29" i="11" s="1"/>
  <c r="BM49" i="8"/>
  <c r="E29" i="11" s="1"/>
  <c r="BO49" i="8"/>
  <c r="G29" i="11" s="1"/>
  <c r="BN49" i="8"/>
  <c r="F29" i="11" s="1"/>
  <c r="BL49" i="8"/>
  <c r="D29" i="11" s="1"/>
  <c r="BP21" i="12"/>
  <c r="BO21" i="12"/>
  <c r="BM21" i="12"/>
  <c r="BL21" i="12"/>
  <c r="BN21" i="12"/>
  <c r="BK21" i="12"/>
  <c r="BO18" i="12"/>
  <c r="BL18" i="12"/>
  <c r="BM18" i="12"/>
  <c r="BP18" i="12"/>
  <c r="BN18" i="12"/>
  <c r="BK18" i="12"/>
  <c r="BK51" i="8" l="1"/>
  <c r="C31" i="11" s="1"/>
  <c r="BN51" i="8"/>
  <c r="F31" i="11" s="1"/>
  <c r="BO51" i="8"/>
  <c r="G31" i="11" s="1"/>
  <c r="BP51" i="8"/>
  <c r="H31" i="11" s="1"/>
  <c r="BL51" i="8"/>
  <c r="D31" i="11" s="1"/>
  <c r="BM51" i="8"/>
  <c r="E31" i="11" s="1"/>
  <c r="BJ18" i="9"/>
  <c r="BJ25" i="9"/>
  <c r="BN11" i="9"/>
  <c r="F34" i="11" s="1"/>
  <c r="BP11" i="9"/>
  <c r="H34" i="11" s="1"/>
  <c r="BK11" i="9"/>
  <c r="C34" i="11" s="1"/>
  <c r="BO11" i="9"/>
  <c r="G34" i="11" s="1"/>
  <c r="BL11" i="9"/>
  <c r="D34" i="11" s="1"/>
  <c r="BM11" i="9"/>
  <c r="E34" i="11" s="1"/>
  <c r="BN25" i="9" l="1"/>
  <c r="F38" i="11" s="1"/>
  <c r="BK25" i="9"/>
  <c r="C38" i="11" s="1"/>
  <c r="BL25" i="9"/>
  <c r="D38" i="11" s="1"/>
  <c r="BO25" i="9"/>
  <c r="G38" i="11" s="1"/>
  <c r="BM25" i="9"/>
  <c r="E38" i="11" s="1"/>
  <c r="BP25" i="9"/>
  <c r="H38" i="11" s="1"/>
  <c r="BJ27" i="9"/>
  <c r="BJ6" i="10" s="1"/>
  <c r="BJ9" i="10" s="1"/>
  <c r="BJ14" i="10" s="1"/>
  <c r="BJ29" i="10" s="1"/>
  <c r="BJ19" i="9"/>
  <c r="BJ20" i="9"/>
  <c r="BN18" i="9"/>
  <c r="F36" i="11" s="1"/>
  <c r="BP18" i="9"/>
  <c r="H36" i="11" s="1"/>
  <c r="BL18" i="9"/>
  <c r="D36" i="11" s="1"/>
  <c r="BM18" i="9"/>
  <c r="E36" i="11" s="1"/>
  <c r="BO18" i="9"/>
  <c r="G36" i="11" s="1"/>
  <c r="BK18" i="9"/>
  <c r="C36" i="11" s="1"/>
  <c r="BJ11" i="12" l="1"/>
  <c r="BJ28" i="9"/>
  <c r="BJ12" i="12" s="1"/>
  <c r="BO19" i="9"/>
  <c r="G37" i="11" s="1"/>
  <c r="BM19" i="9"/>
  <c r="E37" i="11" s="1"/>
  <c r="BK19" i="9"/>
  <c r="C37" i="11" s="1"/>
  <c r="BN19" i="9"/>
  <c r="F37" i="11" s="1"/>
  <c r="BP19" i="9"/>
  <c r="H37" i="11" s="1"/>
  <c r="BL19" i="9"/>
  <c r="D37" i="11" s="1"/>
  <c r="BN11" i="12" l="1"/>
  <c r="BO11" i="12"/>
  <c r="BP11" i="12"/>
  <c r="BK11" i="12"/>
  <c r="BL11" i="12"/>
  <c r="BM11" i="12"/>
</calcChain>
</file>

<file path=xl/sharedStrings.xml><?xml version="1.0" encoding="utf-8"?>
<sst xmlns="http://schemas.openxmlformats.org/spreadsheetml/2006/main" count="662" uniqueCount="402">
  <si>
    <t>SaaS Financial Plan</t>
  </si>
  <si>
    <t>Enterprise Edition  ·  Multi-Tier  ·  Full 3-Statement Model</t>
  </si>
  <si>
    <t>Built by Quanthaven Labs LLC</t>
  </si>
  <si>
    <t>✓  3-Tier Pricing  (Starter / Growth / Enterprise)</t>
  </si>
  <si>
    <t>✓  Acquisition Funnel  (Organic / Paid / Partner channels)</t>
  </si>
  <si>
    <t>✓  Annual vs. Monthly Billing  +  Deferred Revenue</t>
  </si>
  <si>
    <t>✓  Full 3-Statement Model  (P&amp;L · Balance Sheet · Cash Flow)</t>
  </si>
  <si>
    <t>✓  SaaS KPI Dashboard with Benchmark Flags</t>
  </si>
  <si>
    <t>✓  Scenario Toggle  (Base / Upside / Downside)</t>
  </si>
  <si>
    <t>✓  Burn Rate &amp; Runway Tracker</t>
  </si>
  <si>
    <t>✓  36-Month Rolling Forecast  (3 Years)</t>
  </si>
  <si>
    <t>START HERE  →  Controls  →  Revenue  →  Headcount  →  OpEx  →  P&amp;L · Balance Sheet · Cash Flow · KPI Dashboard</t>
  </si>
  <si>
    <t>HOW TO USE THIS MODEL  ·  Step-by-Step Guide</t>
  </si>
  <si>
    <t>1</t>
  </si>
  <si>
    <t>Controls Tab</t>
  </si>
  <si>
    <t>Start here. Set your tax rate, scenario (Base/Upside/Downside), opening cash balance, payroll tax rate, and benefits rate. These feed the entire model.</t>
  </si>
  <si>
    <t>2</t>
  </si>
  <si>
    <t>Revenue Tab – Pricing</t>
  </si>
  <si>
    <t>Enter your ARPU for each tier (Starter / Growth / Enterprise) and the % of customers expected to choose annual billing per tier.</t>
  </si>
  <si>
    <t>3</t>
  </si>
  <si>
    <t>Revenue Tab – Acquisition Funnel</t>
  </si>
  <si>
    <t>Set Month 1 website visitors and traffic growth rate. Set trial and conversion rates. Set Month 1 paid marketing budget, CAC, partner leads, and close rate. The model computes monthly new customers from all three channels.</t>
  </si>
  <si>
    <t>4</t>
  </si>
  <si>
    <t>Revenue Tab – Customer Mix &amp; Churn</t>
  </si>
  <si>
    <t>Set the % of new customers going to each tier (must sum to 100%). Set monthly gross churn rates per tier. Expansion MRR rates are pre-filled — adjust as needed.</t>
  </si>
  <si>
    <t>5</t>
  </si>
  <si>
    <t>Revenue Tab – Services Revenue</t>
  </si>
  <si>
    <t>Row 104: Pre-filled monthly professional services revenue. Overwrite with your own actuals or projections.</t>
  </si>
  <si>
    <t>6</t>
  </si>
  <si>
    <t>Headcount Tab</t>
  </si>
  <si>
    <t>Enter monthly base salary cost by department. Benefits and payroll tax are applied automatically from your Controls assumptions.</t>
  </si>
  <si>
    <t>7</t>
  </si>
  <si>
    <t>OpEx Tab</t>
  </si>
  <si>
    <t>Enter non-wage operating expenses by department and category. Categories are pre-filled with reasonable starting assumptions — adjust to match your cost structure.</t>
  </si>
  <si>
    <t>8</t>
  </si>
  <si>
    <t>P&amp;L Tab</t>
  </si>
  <si>
    <t>Read-only (calculated). Review your SaaS income statement: Subscription revenue, COGS, Gross Profit, EBITDA, EBIT, and Net Income with margin percentages.</t>
  </si>
  <si>
    <t>9</t>
  </si>
  <si>
    <t>Balance Sheet Tab</t>
  </si>
  <si>
    <t>Read-only (calculated). End-of-period balance sheet. Review assets (cash, AR), liabilities (AP, deferred revenue), and equity.</t>
  </si>
  <si>
    <t>10</t>
  </si>
  <si>
    <t>Cash Flow Tab</t>
  </si>
  <si>
    <t>Read-only (calculated). Indirect-method cash flow statement. Monitor FCF, monthly burn rate, and runway in months.</t>
  </si>
  <si>
    <t>11</t>
  </si>
  <si>
    <t>KPI Dashboard</t>
  </si>
  <si>
    <t>Read-only (calculated). All key SaaS metrics: MRR, ARR, NRR, Gross Margin, EBITDA, ARPA, LTV, CAC, LTV:CAC, CAC Payback, Magic Number, Rule of 40. Benchmark reference guide included.</t>
  </si>
  <si>
    <t>12</t>
  </si>
  <si>
    <t>Scenario Analysis</t>
  </si>
  <si>
    <t>Change the "Active Scenario" in Controls!B12 between Base, Upside, and Downside. The revenue multiplier and churn multiplier are applied automatically. Compare outputs in the KPI Dashboard.</t>
  </si>
  <si>
    <t>GLOBAL CONTROLS</t>
  </si>
  <si>
    <t>All blue cells below are user inputs — changes flow through the entire model</t>
  </si>
  <si>
    <t>Setting</t>
  </si>
  <si>
    <t>Value</t>
  </si>
  <si>
    <t>Notes</t>
  </si>
  <si>
    <t>MODEL SETTINGS</t>
  </si>
  <si>
    <t>Model Start Date</t>
  </si>
  <si>
    <t>Enter as an actual date — Excel will display as mmm-yy (e.g. Jan-25). All headers auto-update.</t>
  </si>
  <si>
    <t>Forecast Horizon (Months)</t>
  </si>
  <si>
    <t>Active months: 12–60. Columns beyond this show gray/zero. Annual cols auto-adjust.</t>
  </si>
  <si>
    <t>Tax Rate</t>
  </si>
  <si>
    <t>Effective corp income tax rate</t>
  </si>
  <si>
    <t>Base Currency</t>
  </si>
  <si>
    <t>USD</t>
  </si>
  <si>
    <t>SCENARIO TOGGLE</t>
  </si>
  <si>
    <t>Scenario Instructions</t>
  </si>
  <si>
    <t>Type "Base", "Upside", or "Downside" in B12</t>
  </si>
  <si>
    <t>Active Scenario</t>
  </si>
  <si>
    <t>Base</t>
  </si>
  <si>
    <t>Base | Upside | Downside</t>
  </si>
  <si>
    <t>Upside Rev Multiplier</t>
  </si>
  <si>
    <t>Applied to new customer counts</t>
  </si>
  <si>
    <t>Downside Rev Multiplier</t>
  </si>
  <si>
    <t>Upside Churn Multiplier</t>
  </si>
  <si>
    <t>Lower churn in upside (e.g. 0.80 = 20% better)</t>
  </si>
  <si>
    <t>Downside Churn Multiplier</t>
  </si>
  <si>
    <t>Higher churn in downside (e.g. 1.30 = 30% worse)</t>
  </si>
  <si>
    <t>FINANCING</t>
  </si>
  <si>
    <t>Financing Instructions</t>
  </si>
  <si>
    <t>Enter opening cash balance and any debt raised at model start</t>
  </si>
  <si>
    <t>Opening Cash Balance ($)</t>
  </si>
  <si>
    <t>Cash on hand at model start (seed / Series A proceeds)</t>
  </si>
  <si>
    <t>Debt Raised ($)</t>
  </si>
  <si>
    <t>Term loan or convertible note principal</t>
  </si>
  <si>
    <t>Annual Interest Rate</t>
  </si>
  <si>
    <t>Interest on outstanding debt</t>
  </si>
  <si>
    <t>EXPENSE ASSUMPTIONS</t>
  </si>
  <si>
    <t>Expense Instructions</t>
  </si>
  <si>
    <t>These rates are applied globally in Headcount tab</t>
  </si>
  <si>
    <t>Employer Payroll Tax Rate</t>
  </si>
  <si>
    <t>Federal FICA — adjust for state</t>
  </si>
  <si>
    <t>Benefits Rate (% Salary)</t>
  </si>
  <si>
    <t>Health, dental, vision, 401k match</t>
  </si>
  <si>
    <t>CapEx Depr Life (Years)</t>
  </si>
  <si>
    <t>Straight-line useful life for CapEx</t>
  </si>
  <si>
    <t>COLOR KEY</t>
  </si>
  <si>
    <t xml:space="preserve">   Sample Text</t>
  </si>
  <si>
    <t>Blue text on yellow  → User input — safe to change</t>
  </si>
  <si>
    <t>Black text → Formula — do not manually overwrite</t>
  </si>
  <si>
    <t>Green text → Linked from another tab</t>
  </si>
  <si>
    <t>Gray italic → Descriptive label or instruction</t>
  </si>
  <si>
    <t>REVENUE MODEL  ·  3-Tier SaaS Subscription + Acquisition Funnel</t>
  </si>
  <si>
    <t>Label</t>
  </si>
  <si>
    <t>Unit</t>
  </si>
  <si>
    <t xml:space="preserve">  PRICING ASSUMPTIONS</t>
  </si>
  <si>
    <t>Starter ARPU (Monthly)</t>
  </si>
  <si>
    <t>$/mo</t>
  </si>
  <si>
    <t>← Single-cell inputs (col C). Copy right if you want tier-specific monthly variation.</t>
  </si>
  <si>
    <t>Growth ARPU (Monthly)</t>
  </si>
  <si>
    <t>Enterprise ARPU (Monthly)</t>
  </si>
  <si>
    <t xml:space="preserve">  % on Annual Plan – Starter</t>
  </si>
  <si>
    <t>%</t>
  </si>
  <si>
    <t xml:space="preserve">  % on Annual Plan – Growth</t>
  </si>
  <si>
    <t xml:space="preserve">  % on Annual Plan – Enterprise</t>
  </si>
  <si>
    <t xml:space="preserve">  ACQUISITION FUNNEL  ·  Organic / Paid / Partner</t>
  </si>
  <si>
    <t xml:space="preserve">    Organic Channel</t>
  </si>
  <si>
    <t xml:space="preserve">  Month 1 Website Visitors (Input)</t>
  </si>
  <si>
    <t>#</t>
  </si>
  <si>
    <t xml:space="preserve">  MoM Traffic Growth Rate</t>
  </si>
  <si>
    <t xml:space="preserve">    Monthly Website Visitors</t>
  </si>
  <si>
    <t xml:space="preserve">  Trial Sign-Up Rate</t>
  </si>
  <si>
    <t xml:space="preserve">  Trial-to-Paid Conversion</t>
  </si>
  <si>
    <t>New Customers – Organic</t>
  </si>
  <si>
    <t xml:space="preserve">    Paid Channel</t>
  </si>
  <si>
    <t xml:space="preserve">  Month 1 Paid Marketing Budget</t>
  </si>
  <si>
    <t>$</t>
  </si>
  <si>
    <t xml:space="preserve">  MoM Budget Growth Rate</t>
  </si>
  <si>
    <t xml:space="preserve">    Monthly Paid Budget</t>
  </si>
  <si>
    <t xml:space="preserve">  Blended Paid CAC</t>
  </si>
  <si>
    <t>New Customers – Paid</t>
  </si>
  <si>
    <t xml:space="preserve">    Partner / Referral Channel</t>
  </si>
  <si>
    <t xml:space="preserve">  Month 1 Partner Leads</t>
  </si>
  <si>
    <t xml:space="preserve">  MoM Leads Growth Rate</t>
  </si>
  <si>
    <t xml:space="preserve">    Monthly Partner Leads</t>
  </si>
  <si>
    <t xml:space="preserve">  Partner Close Rate</t>
  </si>
  <si>
    <t>New Customers – Partner</t>
  </si>
  <si>
    <t>Scenario Multiplier</t>
  </si>
  <si>
    <t>x</t>
  </si>
  <si>
    <t>TOTAL NEW CUSTOMERS</t>
  </si>
  <si>
    <t xml:space="preserve">  CUSTOMER MIX BY TIER</t>
  </si>
  <si>
    <t xml:space="preserve">  New Customer Mix – Starter</t>
  </si>
  <si>
    <t xml:space="preserve">  New Customer Mix – Growth</t>
  </si>
  <si>
    <t xml:space="preserve">  New Customer Mix – Enterprise</t>
  </si>
  <si>
    <t>Mix Total (must = 100%)</t>
  </si>
  <si>
    <t xml:space="preserve">  CUSTOMER WATERFALL – STARTER</t>
  </si>
  <si>
    <t xml:space="preserve">  Beginning Customers – Starter</t>
  </si>
  <si>
    <t xml:space="preserve">  + New Customers – Starter</t>
  </si>
  <si>
    <t xml:space="preserve">  – Churned Customers – Starter</t>
  </si>
  <si>
    <t xml:space="preserve">  = Ending Customers – Starter</t>
  </si>
  <si>
    <t xml:space="preserve">  Gross Churn Rate – Starter</t>
  </si>
  <si>
    <t>%/mo</t>
  </si>
  <si>
    <t xml:space="preserve">  CUSTOMER WATERFALL – GROWTH</t>
  </si>
  <si>
    <t xml:space="preserve">  Beginning Customers – Growth</t>
  </si>
  <si>
    <t xml:space="preserve">  + New Customers – Growth</t>
  </si>
  <si>
    <t xml:space="preserve">  – Churned Customers – Growth</t>
  </si>
  <si>
    <t xml:space="preserve">  = Ending Customers – Growth</t>
  </si>
  <si>
    <t xml:space="preserve">  Gross Churn Rate – Growth</t>
  </si>
  <si>
    <t xml:space="preserve">  CUSTOMER WATERFALL – ENTERPRISE</t>
  </si>
  <si>
    <t xml:space="preserve">  Beginning Customers – Enterprise</t>
  </si>
  <si>
    <t xml:space="preserve">  + New Customers – Enterprise</t>
  </si>
  <si>
    <t xml:space="preserve">  – Churned Customers – Enterprise</t>
  </si>
  <si>
    <t xml:space="preserve">  = Ending Customers – Enterprise</t>
  </si>
  <si>
    <t xml:space="preserve">  Gross Churn Rate – Enterprise</t>
  </si>
  <si>
    <t>TOTAL ACTIVE CUSTOMERS</t>
  </si>
  <si>
    <t xml:space="preserve">  MRR WATERFALL  ·  New · Expansion · Churn</t>
  </si>
  <si>
    <t xml:space="preserve">  Net Expansion Rate – Starter</t>
  </si>
  <si>
    <t xml:space="preserve">  Net Expansion Rate – Growth</t>
  </si>
  <si>
    <t xml:space="preserve">  Net Expansion Rate – Enterprise</t>
  </si>
  <si>
    <t xml:space="preserve">    Beginning MRR – Starter</t>
  </si>
  <si>
    <t xml:space="preserve">    + New MRR – Starter</t>
  </si>
  <si>
    <t xml:space="preserve">    + Expansion MRR – Starter</t>
  </si>
  <si>
    <t xml:space="preserve">    – Churned MRR – Starter</t>
  </si>
  <si>
    <t xml:space="preserve">  = Ending MRR – Starter</t>
  </si>
  <si>
    <t xml:space="preserve">    Beginning MRR – Growth</t>
  </si>
  <si>
    <t xml:space="preserve">    + New MRR – Growth</t>
  </si>
  <si>
    <t xml:space="preserve">    + Expansion MRR – Growth</t>
  </si>
  <si>
    <t xml:space="preserve">    – Churned MRR – Growth</t>
  </si>
  <si>
    <t xml:space="preserve">  = Ending MRR – Growth</t>
  </si>
  <si>
    <t xml:space="preserve">    Beginning MRR – Enterprise</t>
  </si>
  <si>
    <t xml:space="preserve">    + New MRR – Enterprise</t>
  </si>
  <si>
    <t xml:space="preserve">    + Expansion MRR – Enterprise</t>
  </si>
  <si>
    <t xml:space="preserve">    – Churned MRR – Enterprise</t>
  </si>
  <si>
    <t xml:space="preserve">  = Ending MRR – Enterprise</t>
  </si>
  <si>
    <t>TOTAL MRR</t>
  </si>
  <si>
    <t>ARR (MRR×12)</t>
  </si>
  <si>
    <t>Net Revenue Retention (NRR)</t>
  </si>
  <si>
    <t xml:space="preserve">  REVENUE RECOGNITION  ·  Monthly + Annual Billing + Deferred Revenue</t>
  </si>
  <si>
    <t xml:space="preserve">    Monthly Billing Revenue (Recognized)</t>
  </si>
  <si>
    <t xml:space="preserve">    Annual Billing – Cash Invoiced</t>
  </si>
  <si>
    <t xml:space="preserve">    Deferred Revenue – Beginning Balance</t>
  </si>
  <si>
    <t xml:space="preserve">    + Annual Invoiced (New Deferred)</t>
  </si>
  <si>
    <t xml:space="preserve">    – Recognized from Deferred (1/12/mo)</t>
  </si>
  <si>
    <t xml:space="preserve">    = Deferred Revenue – Ending Balance</t>
  </si>
  <si>
    <t>TOTAL RECOGNIZED SUBSCRIPTION REVENUE</t>
  </si>
  <si>
    <t xml:space="preserve">    Professional Services Revenue</t>
  </si>
  <si>
    <t>TOTAL RECOGNIZED REVENUE</t>
  </si>
  <si>
    <t>SaaS Financial Plan  ·  Key Metrics Dashboard  ·  36-Month Forecast</t>
  </si>
  <si>
    <t>HEADCOUNT PLAN  ·  Role-Level Wage Forecast  ·  Includes Benefits &amp; Payroll Taxes</t>
  </si>
  <si>
    <t xml:space="preserve">  HEADCOUNT WAGES BY DEPARTMENT  (Benefits &amp; Payroll Tax Built In)</t>
  </si>
  <si>
    <t>Year 1 (months 1–12): enter base salary cost directly. Years 2–3 auto-calculate from the rolling 12-month prior period × (1 + YoY growth rate). Growth kicks in exactly 12 months after model start — not on a calendar-year boundary.</t>
  </si>
  <si>
    <t xml:space="preserve">  COGS – Customer Success</t>
  </si>
  <si>
    <t xml:space="preserve">    YoY Headcount Cost Growth Rate – COGS – Customer Success</t>
  </si>
  <si>
    <t>%/yr</t>
  </si>
  <si>
    <t>↑ Applies to months 13–36 (rolling 12-mo, not calendar year)</t>
  </si>
  <si>
    <t xml:space="preserve">    Base Salary Cost – COGS – Customer Success</t>
  </si>
  <si>
    <t xml:space="preserve">  Total Loaded Cost – COGS – Customer Success (incl. benefits &amp; taxes)</t>
  </si>
  <si>
    <t xml:space="preserve">  Sales &amp; Marketing</t>
  </si>
  <si>
    <t xml:space="preserve">    YoY Headcount Cost Growth Rate – Sales &amp; Marketing</t>
  </si>
  <si>
    <t xml:space="preserve">    Base Salary Cost – Sales &amp; Marketing</t>
  </si>
  <si>
    <t xml:space="preserve">  Total Loaded Cost – Sales &amp; Marketing (incl. benefits &amp; taxes)</t>
  </si>
  <si>
    <t xml:space="preserve">  R&amp;D / Engineering</t>
  </si>
  <si>
    <t xml:space="preserve">    YoY Headcount Cost Growth Rate – R&amp;D / Engineering</t>
  </si>
  <si>
    <t xml:space="preserve">    Base Salary Cost – R&amp;D / Engineering</t>
  </si>
  <si>
    <t xml:space="preserve">  Total Loaded Cost – R&amp;D / Engineering (incl. benefits &amp; taxes)</t>
  </si>
  <si>
    <t xml:space="preserve">  G&amp;A</t>
  </si>
  <si>
    <t xml:space="preserve">    YoY Headcount Cost Growth Rate – G&amp;A</t>
  </si>
  <si>
    <t xml:space="preserve">    Base Salary Cost – G&amp;A</t>
  </si>
  <si>
    <t xml:space="preserve">  Total Loaded Cost – G&amp;A (incl. benefits &amp; taxes)</t>
  </si>
  <si>
    <t>TOTAL LOADED WAGES (All Departments)</t>
  </si>
  <si>
    <t>NON-WAGE OPERATING EXPENSES  ·  By Department</t>
  </si>
  <si>
    <t xml:space="preserve">  NON-WAGE OPEX  ·  Enter Year 1 monthly amounts — Years 2 &amp; 3 auto-grow by dept YoY rate</t>
  </si>
  <si>
    <t xml:space="preserve">  COGS – Non-Wage</t>
  </si>
  <si>
    <t xml:space="preserve">    YoY Growth Rate – COGS – Non-Wage</t>
  </si>
  <si>
    <t>↑ Applies to months 13–36 (rolling 12-mo from model start, not calendar year)</t>
  </si>
  <si>
    <t xml:space="preserve">    Cloud Hosting &amp; Infrastructure</t>
  </si>
  <si>
    <t xml:space="preserve">    Other COGS (Support Tools, Ops)</t>
  </si>
  <si>
    <t xml:space="preserve">  S&amp;M – Non-Wage</t>
  </si>
  <si>
    <t xml:space="preserve">    YoY Growth Rate – S&amp;M – Non-Wage</t>
  </si>
  <si>
    <t xml:space="preserve">    Digital Marketing &amp; Advertising</t>
  </si>
  <si>
    <t xml:space="preserve">    Sales Tools (CRM, Outreach)</t>
  </si>
  <si>
    <t xml:space="preserve">    Other S&amp;M (Events, Content)</t>
  </si>
  <si>
    <t xml:space="preserve">  R&amp;D – Non-Wage</t>
  </si>
  <si>
    <t xml:space="preserve">    YoY Growth Rate – R&amp;D – Non-Wage</t>
  </si>
  <si>
    <t xml:space="preserve">    Cloud Compute &amp; Dev Infra</t>
  </si>
  <si>
    <t xml:space="preserve">    Dev Tools &amp; Licenses</t>
  </si>
  <si>
    <t xml:space="preserve">    Other R&amp;D</t>
  </si>
  <si>
    <t xml:space="preserve">  G&amp;A – Non-Wage</t>
  </si>
  <si>
    <t xml:space="preserve">    YoY Growth Rate – G&amp;A – Non-Wage</t>
  </si>
  <si>
    <t xml:space="preserve">    Legal &amp; Compliance</t>
  </si>
  <si>
    <t xml:space="preserve">    Finance, Accounting, Audit</t>
  </si>
  <si>
    <t xml:space="preserve">    Other G&amp;A (Office, Insurance, HR)</t>
  </si>
  <si>
    <t xml:space="preserve">  CAPEX  (Manual — no auto-growth applied)</t>
  </si>
  <si>
    <t xml:space="preserve">    Capital Expenditures (Equipment, Etc.)</t>
  </si>
  <si>
    <t xml:space="preserve">    Depreciation (straight-line from CapEx above)</t>
  </si>
  <si>
    <t>INCOME STATEMENT  ·  SaaS P&amp;L with Gross Margin, EBITDA, EBIT, Net Income</t>
  </si>
  <si>
    <t xml:space="preserve">  REVENUE</t>
  </si>
  <si>
    <t xml:space="preserve">    Subscription Revenue</t>
  </si>
  <si>
    <t xml:space="preserve">    Professional Services</t>
  </si>
  <si>
    <t xml:space="preserve">  Total Revenue</t>
  </si>
  <si>
    <t xml:space="preserve">  COST OF REVENUE (COGS)</t>
  </si>
  <si>
    <t xml:space="preserve">    Cloud Hosting &amp; Infra</t>
  </si>
  <si>
    <t xml:space="preserve">    Other COGS</t>
  </si>
  <si>
    <t xml:space="preserve">    CS Team Wages (Loaded)</t>
  </si>
  <si>
    <t xml:space="preserve">    Services Delivery Cost</t>
  </si>
  <si>
    <t xml:space="preserve">  Total COGS</t>
  </si>
  <si>
    <t xml:space="preserve">  Gross Profit</t>
  </si>
  <si>
    <t xml:space="preserve">  Gross Margin %</t>
  </si>
  <si>
    <t xml:space="preserve">  OPERATING EXPENSES</t>
  </si>
  <si>
    <t xml:space="preserve">    S&amp;M Wages (Loaded)</t>
  </si>
  <si>
    <t xml:space="preserve">    Digital Marketing</t>
  </si>
  <si>
    <t xml:space="preserve">    Sales Tools</t>
  </si>
  <si>
    <t xml:space="preserve">    Other S&amp;M</t>
  </si>
  <si>
    <t xml:space="preserve">  Total Sales &amp; Marketing</t>
  </si>
  <si>
    <t xml:space="preserve">    R&amp;D Wages (Loaded)</t>
  </si>
  <si>
    <t xml:space="preserve">    Cloud Compute</t>
  </si>
  <si>
    <t xml:space="preserve">    Dev Tools</t>
  </si>
  <si>
    <t xml:space="preserve">  Total R&amp;D / Engineering</t>
  </si>
  <si>
    <t xml:space="preserve">    G&amp;A Wages (Loaded)</t>
  </si>
  <si>
    <t xml:space="preserve">    Finance &amp; Accounting</t>
  </si>
  <si>
    <t xml:space="preserve">    Other G&amp;A</t>
  </si>
  <si>
    <t xml:space="preserve">  Total G&amp;A</t>
  </si>
  <si>
    <t>Total Operating Expenses</t>
  </si>
  <si>
    <t>EBITDA</t>
  </si>
  <si>
    <t>EBITDA Margin %</t>
  </si>
  <si>
    <t xml:space="preserve">    Depreciation</t>
  </si>
  <si>
    <t>EBIT (Operating Income)</t>
  </si>
  <si>
    <t xml:space="preserve">    Interest Expense</t>
  </si>
  <si>
    <t>EBT (Pre-Tax Income)</t>
  </si>
  <si>
    <t xml:space="preserve">    Income Tax Provision</t>
  </si>
  <si>
    <t>NET INCOME</t>
  </si>
  <si>
    <t>Net Margin %</t>
  </si>
  <si>
    <t>CASH FLOW STATEMENT  ·  Operating / Investing / Financing  ·  Burn Rate &amp; Runway</t>
  </si>
  <si>
    <t xml:space="preserve">  OPERATING ACTIVITIES (Indirect Method)</t>
  </si>
  <si>
    <t xml:space="preserve">    Net Income</t>
  </si>
  <si>
    <t xml:space="preserve">    + Depreciation &amp; Amortization</t>
  </si>
  <si>
    <t xml:space="preserve">    – Change in Accounts Receivable</t>
  </si>
  <si>
    <t xml:space="preserve">    + Change in Accounts Payable</t>
  </si>
  <si>
    <t xml:space="preserve">    + Change in Deferred Revenue</t>
  </si>
  <si>
    <t>OPERATING CASH FLOW</t>
  </si>
  <si>
    <t xml:space="preserve">  INVESTING ACTIVITIES</t>
  </si>
  <si>
    <t xml:space="preserve">    Capital Expenditures</t>
  </si>
  <si>
    <t>INVESTING CASH FLOW</t>
  </si>
  <si>
    <t xml:space="preserve">  FREE CASH FLOW &amp; BURN</t>
  </si>
  <si>
    <t>FREE CASH FLOW</t>
  </si>
  <si>
    <t xml:space="preserve">    Monthly Burn Rate (if FCF &lt; 0)</t>
  </si>
  <si>
    <t xml:space="preserve">    FCF Margin %</t>
  </si>
  <si>
    <t xml:space="preserve">  FINANCING ACTIVITIES</t>
  </si>
  <si>
    <t xml:space="preserve">    Debt / Equity Raised</t>
  </si>
  <si>
    <t>NET CHANGE IN CASH</t>
  </si>
  <si>
    <t xml:space="preserve">    Beginning Cash Balance</t>
  </si>
  <si>
    <t xml:space="preserve">  Ending Cash Balance</t>
  </si>
  <si>
    <t xml:space="preserve">  Runway (Months at Current Burn)</t>
  </si>
  <si>
    <t>mo</t>
  </si>
  <si>
    <t>BALANCE SHEET  ·  End of Period</t>
  </si>
  <si>
    <t xml:space="preserve">  ASSETS</t>
  </si>
  <si>
    <t xml:space="preserve">    Cash &amp; Cash Equivalents</t>
  </si>
  <si>
    <t xml:space="preserve">    Accounts Receivable</t>
  </si>
  <si>
    <t xml:space="preserve">    Prepaid &amp; Other Current Assets</t>
  </si>
  <si>
    <t xml:space="preserve">  Total Current Assets</t>
  </si>
  <si>
    <t xml:space="preserve">    PP&amp;E, Gross</t>
  </si>
  <si>
    <t xml:space="preserve">    Accumulated Depreciation</t>
  </si>
  <si>
    <t xml:space="preserve">    PP&amp;E, Net</t>
  </si>
  <si>
    <t>TOTAL ASSETS</t>
  </si>
  <si>
    <t xml:space="preserve">  LIABILITIES</t>
  </si>
  <si>
    <t xml:space="preserve">    Accounts Payable</t>
  </si>
  <si>
    <t xml:space="preserve">    Deferred Revenue (Annual Subs)</t>
  </si>
  <si>
    <t xml:space="preserve">  Total Current Liabilities</t>
  </si>
  <si>
    <t xml:space="preserve">    Long-Term Debt</t>
  </si>
  <si>
    <t>TOTAL LIABILITIES</t>
  </si>
  <si>
    <t xml:space="preserve">  SHAREHOLDERS' EQUITY</t>
  </si>
  <si>
    <t xml:space="preserve">    Paid-In Capital</t>
  </si>
  <si>
    <t xml:space="preserve">    Retained Earnings (Deficit)</t>
  </si>
  <si>
    <t>TOTAL EQUITY</t>
  </si>
  <si>
    <t>TOTAL LIABILITIES + EQUITY</t>
  </si>
  <si>
    <t>Balance Check (must = 0)</t>
  </si>
  <si>
    <t>ANNUAL FINANCIAL STATEMENTS  ·  Income Statement  ·  Cash Flow  ·  Balance Sheet</t>
  </si>
  <si>
    <t xml:space="preserve">  INCOME STATEMENT</t>
  </si>
  <si>
    <t xml:space="preserve">    Revenue</t>
  </si>
  <si>
    <t xml:space="preserve">  Subscription Revenue</t>
  </si>
  <si>
    <t xml:space="preserve">  Professional Services</t>
  </si>
  <si>
    <t xml:space="preserve">    Cost of Revenue</t>
  </si>
  <si>
    <t xml:space="preserve">    Operating Expenses</t>
  </si>
  <si>
    <t xml:space="preserve">  Total OpEx</t>
  </si>
  <si>
    <t xml:space="preserve">    Profitability</t>
  </si>
  <si>
    <t xml:space="preserve">  EBITDA</t>
  </si>
  <si>
    <t xml:space="preserve">  EBITDA Margin %</t>
  </si>
  <si>
    <t xml:space="preserve">  Depreciation</t>
  </si>
  <si>
    <t xml:space="preserve">  EBIT (Operating Income)</t>
  </si>
  <si>
    <t xml:space="preserve">  Interest Expense</t>
  </si>
  <si>
    <t xml:space="preserve">  EBT (Pre-Tax Income)</t>
  </si>
  <si>
    <t xml:space="preserve">  Income Tax Provision</t>
  </si>
  <si>
    <t xml:space="preserve">  Net Income</t>
  </si>
  <si>
    <t xml:space="preserve">  Net Margin %</t>
  </si>
  <si>
    <t xml:space="preserve">  CASH FLOW STATEMENT</t>
  </si>
  <si>
    <t xml:space="preserve">  Operating Cash Flow</t>
  </si>
  <si>
    <t xml:space="preserve">  Investing Cash Flow</t>
  </si>
  <si>
    <t xml:space="preserve">  Free Cash Flow</t>
  </si>
  <si>
    <t xml:space="preserve">  Avg Monthly Burn Rate</t>
  </si>
  <si>
    <t xml:space="preserve">  Net Change in Cash</t>
  </si>
  <si>
    <t xml:space="preserve">  Ending Runway (Months)</t>
  </si>
  <si>
    <t xml:space="preserve">  BALANCE SHEET  ·  End of Period</t>
  </si>
  <si>
    <t xml:space="preserve">    Assets</t>
  </si>
  <si>
    <t xml:space="preserve">  Cash &amp; Cash Equivalents</t>
  </si>
  <si>
    <t xml:space="preserve">  Accounts Receivable</t>
  </si>
  <si>
    <t xml:space="preserve">  PP&amp;E, Net</t>
  </si>
  <si>
    <t xml:space="preserve">  Total Assets</t>
  </si>
  <si>
    <t xml:space="preserve">    Liabilities</t>
  </si>
  <si>
    <t xml:space="preserve">  Accounts Payable</t>
  </si>
  <si>
    <t xml:space="preserve">  Deferred Revenue</t>
  </si>
  <si>
    <t xml:space="preserve">  Long-Term Debt</t>
  </si>
  <si>
    <t xml:space="preserve">  Total Liabilities</t>
  </si>
  <si>
    <t xml:space="preserve">    Equity</t>
  </si>
  <si>
    <t xml:space="preserve">  Total Equity</t>
  </si>
  <si>
    <t xml:space="preserve">  Total Liabilities + Equity</t>
  </si>
  <si>
    <t xml:space="preserve">  Balance Check (must = 0)</t>
  </si>
  <si>
    <t>FY columns reflect actual calendar years keyed to the model start date in Controls.  A model starting mid-year will show a partial first and last year automatically.</t>
  </si>
  <si>
    <t>SaaS KPI DASHBOARD  ·  Unit Economics · Benchmarks · Key Metrics</t>
  </si>
  <si>
    <t xml:space="preserve">  GROWTH &amp; SCALE METRICS</t>
  </si>
  <si>
    <t xml:space="preserve">  MRR (Monthly Recurring Revenue)</t>
  </si>
  <si>
    <t xml:space="preserve">  ARR (Annualized)</t>
  </si>
  <si>
    <t xml:space="preserve">  Total Active Customers</t>
  </si>
  <si>
    <t xml:space="preserve">  Net Revenue Retention (NRR)</t>
  </si>
  <si>
    <t xml:space="preserve">  Monthly Cash Burn</t>
  </si>
  <si>
    <t xml:space="preserve">  Runway (Months)</t>
  </si>
  <si>
    <t xml:space="preserve">  UNIT ECONOMICS</t>
  </si>
  <si>
    <t xml:space="preserve">  ARPA (Avg Revenue Per Account)</t>
  </si>
  <si>
    <t xml:space="preserve">  Customer LTV</t>
  </si>
  <si>
    <t xml:space="preserve">  Blended CAC</t>
  </si>
  <si>
    <t xml:space="preserve">  LTV : CAC Ratio</t>
  </si>
  <si>
    <t xml:space="preserve">  CAC Payback Period</t>
  </si>
  <si>
    <t xml:space="preserve">  SaaS Magic Number</t>
  </si>
  <si>
    <t xml:space="preserve">  Rule of 40 Score</t>
  </si>
  <si>
    <t xml:space="preserve">  BENCHMARK FLAGS  ·  Green = On Track  ·  Yellow = Watch  ·  Red = Below Benchmark</t>
  </si>
  <si>
    <t xml:space="preserve">  Gross Margin</t>
  </si>
  <si>
    <t>✓ Green: &gt;70%</t>
  </si>
  <si>
    <t>⚠ Yellow: 70–80%</t>
  </si>
  <si>
    <t>✗ Red: &lt;70%</t>
  </si>
  <si>
    <t xml:space="preserve">  Net Revenue Retention</t>
  </si>
  <si>
    <t>✓ Green: &gt;110%</t>
  </si>
  <si>
    <t>⚠ Yellow: 100–110%</t>
  </si>
  <si>
    <t>✗ Red: &lt;100%</t>
  </si>
  <si>
    <t xml:space="preserve">  LTV:CAC Ratio</t>
  </si>
  <si>
    <t>✓ Green: &gt;3x</t>
  </si>
  <si>
    <t>⚠ Yellow: 2–3x</t>
  </si>
  <si>
    <t>✗ Red: &lt;2x</t>
  </si>
  <si>
    <t xml:space="preserve">  CAC Payback (months)</t>
  </si>
  <si>
    <t>✓ Green: &lt;12mo</t>
  </si>
  <si>
    <t>⚠ Yellow: 12–18mo</t>
  </si>
  <si>
    <t>✗ Red: &gt;18mo</t>
  </si>
  <si>
    <t xml:space="preserve">  Rule of 40</t>
  </si>
  <si>
    <t>✓ Green: &gt;40%</t>
  </si>
  <si>
    <t>⚠ Yellow: 20–40%</t>
  </si>
  <si>
    <t>✗ Red: &lt;20%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</si>
</sst>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(0.0%\);\-"/>
    <numFmt numFmtId="166" formatCode="\$#,##0;&quot;($&quot;#,##0\);\-"/>
    <numFmt numFmtId="167" formatCode="\$#,##0.00"/>
    <numFmt numFmtId="168" formatCode="#,##0.0;\(#,##0.0\);\-"/>
    <numFmt numFmtId="169" formatCode="0.00%;\(0.00%\);\-"/>
    <numFmt numFmtId="170" formatCode="0.0\x"/>
  </numFmts>
  <fonts count="25" x14ac:knownFonts="1">
    <font>
      <sz val="11"/>
      <color theme="1"/>
      <name val="Calibri"/>
      <family val="2"/>
      <charset val="1"/>
    </font>
    <font>
      <b/>
      <sz val="34"/>
      <color rgb="FFFFFFFF"/>
      <name val="Arial"/>
      <charset val="1"/>
    </font>
    <font>
      <sz val="13"/>
      <color rgb="FFBDD7EE"/>
      <name val="Arial"/>
      <charset val="1"/>
    </font>
    <font>
      <sz val="11"/>
      <color rgb="FFFFFFFF"/>
      <name val="Arial"/>
      <charset val="1"/>
    </font>
    <font>
      <sz val="10"/>
      <color rgb="FFBDD7EE"/>
      <name val="Arial"/>
      <charset val="1"/>
    </font>
    <font>
      <b/>
      <sz val="10"/>
      <color rgb="FFFFD7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color rgb="FF008000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595959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008000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b/>
      <u/>
      <sz val="10"/>
      <color theme="0"/>
      <name val="Arial"/>
      <family val="2"/>
    </font>
    <font>
      <sz val="11"/>
      <color theme="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0AD47"/>
        <bgColor rgb="FF878787"/>
      </patternFill>
    </fill>
    <fill>
      <patternFill patternType="solid">
        <fgColor rgb="FFFFD966"/>
        <bgColor rgb="FFFFFF99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/>
    <xf numFmtId="0" fontId="8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7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4" borderId="0" xfId="0" applyNumberFormat="1" applyFont="1" applyFill="1" applyAlignment="1">
      <alignment horizontal="right" vertical="center"/>
    </xf>
    <xf numFmtId="165" fontId="11" fillId="4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right" vertical="center"/>
    </xf>
    <xf numFmtId="0" fontId="9" fillId="0" borderId="0" xfId="0" applyFont="1" applyAlignment="1">
      <alignment horizontal="left" vertical="center"/>
    </xf>
    <xf numFmtId="166" fontId="11" fillId="4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7" fontId="11" fillId="4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168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9" fontId="11" fillId="4" borderId="0" xfId="0" applyNumberFormat="1" applyFont="1" applyFill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right" vertical="center"/>
    </xf>
    <xf numFmtId="165" fontId="20" fillId="0" borderId="2" xfId="0" applyNumberFormat="1" applyFont="1" applyBorder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8" fontId="20" fillId="0" borderId="2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70" fontId="8" fillId="0" borderId="0" xfId="0" applyNumberFormat="1" applyFont="1" applyAlignment="1">
      <alignment horizontal="right" vertical="center"/>
    </xf>
    <xf numFmtId="0" fontId="21" fillId="7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4" fillId="0" borderId="0" xfId="0" applyFo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fill>
        <patternFill>
          <bgColor rgb="FFD6DCE4"/>
        </patternFill>
      </fill>
    </dxf>
    <dxf>
      <fill>
        <patternFill>
          <bgColor rgb="FFD6DCE4"/>
        </patternFill>
      </fill>
    </dxf>
    <dxf>
      <fill>
        <patternFill>
          <bgColor rgb="FFD6DCE4"/>
        </patternFill>
      </fill>
    </dxf>
    <dxf>
      <fill>
        <patternFill>
          <bgColor rgb="FFD6DCE4"/>
        </patternFill>
      </fill>
    </dxf>
    <dxf>
      <fill>
        <patternFill>
          <bgColor rgb="FFD6DCE4"/>
        </patternFill>
      </fill>
    </dxf>
    <dxf>
      <fill>
        <patternFill>
          <bgColor rgb="FFD6DCE4"/>
        </patternFill>
      </fill>
    </dxf>
    <dxf>
      <fill>
        <patternFill>
          <bgColor rgb="FFD6DC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A96E8"/>
      <rgbColor rgb="FF7030A0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DCE4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D700"/>
      <rgbColor rgb="FFFFC000"/>
      <rgbColor rgb="FFED7D31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MRR by Tier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Starter MRR</c:v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Revenue!$C$77:$BJ$77</c:f>
              <c:numCache>
                <c:formatCode>\$#,##0;"($"#,##0\);\-</c:formatCode>
                <c:ptCount val="60"/>
                <c:pt idx="0">
                  <c:v>2059.2249999999999</c:v>
                </c:pt>
                <c:pt idx="1">
                  <c:v>3931.5211249999998</c:v>
                </c:pt>
                <c:pt idx="2">
                  <c:v>5862.1787306249989</c:v>
                </c:pt>
                <c:pt idx="3">
                  <c:v>7851.4896242781242</c:v>
                </c:pt>
                <c:pt idx="4">
                  <c:v>9948.7470723995157</c:v>
                </c:pt>
                <c:pt idx="5">
                  <c:v>12154.490807761513</c:v>
                </c:pt>
                <c:pt idx="6">
                  <c:v>14469.263261800321</c:v>
                </c:pt>
                <c:pt idx="7">
                  <c:v>16844.609578109321</c:v>
                </c:pt>
                <c:pt idx="8">
                  <c:v>19329.832625999868</c:v>
                </c:pt>
                <c:pt idx="9">
                  <c:v>21925.481789129866</c:v>
                </c:pt>
                <c:pt idx="10">
                  <c:v>24730.109198075515</c:v>
                </c:pt>
                <c:pt idx="11">
                  <c:v>27646.759744065894</c:v>
                </c:pt>
                <c:pt idx="12">
                  <c:v>30675.993542786222</c:v>
                </c:pt>
                <c:pt idx="13">
                  <c:v>33916.373510500154</c:v>
                </c:pt>
                <c:pt idx="14">
                  <c:v>37319.955378052655</c:v>
                </c:pt>
                <c:pt idx="15">
                  <c:v>40936.555154942915</c:v>
                </c:pt>
                <c:pt idx="16">
                  <c:v>44767.237930717631</c:v>
                </c:pt>
                <c:pt idx="17">
                  <c:v>48813.074120371217</c:v>
                </c:pt>
                <c:pt idx="18">
                  <c:v>53026.139490973073</c:v>
                </c:pt>
                <c:pt idx="19">
                  <c:v>57554.270188427938</c:v>
                </c:pt>
                <c:pt idx="20">
                  <c:v>62301.041539370075</c:v>
                </c:pt>
                <c:pt idx="21">
                  <c:v>67316.546747066939</c:v>
                </c:pt>
                <c:pt idx="22">
                  <c:v>72749.129480802279</c:v>
                </c:pt>
                <c:pt idx="23">
                  <c:v>78404.875128206288</c:v>
                </c:pt>
                <c:pt idx="24">
                  <c:v>84431.899503847322</c:v>
                </c:pt>
                <c:pt idx="25">
                  <c:v>90881.059001366564</c:v>
                </c:pt>
                <c:pt idx="26">
                  <c:v>97705.464296373393</c:v>
                </c:pt>
                <c:pt idx="27">
                  <c:v>105004.99161785527</c:v>
                </c:pt>
                <c:pt idx="28">
                  <c:v>112782.01657594454</c:v>
                </c:pt>
                <c:pt idx="29">
                  <c:v>121038.92665882426</c:v>
                </c:pt>
                <c:pt idx="30">
                  <c:v>129876.12129211839</c:v>
                </c:pt>
                <c:pt idx="31">
                  <c:v>139247.50189857898</c:v>
                </c:pt>
                <c:pt idx="32">
                  <c:v>149253.73940807188</c:v>
                </c:pt>
                <c:pt idx="33">
                  <c:v>159947.00810511224</c:v>
                </c:pt>
                <c:pt idx="34">
                  <c:v>171330.7431456378</c:v>
                </c:pt>
                <c:pt idx="35">
                  <c:v>183457.396861366</c:v>
                </c:pt>
                <c:pt idx="36">
                  <c:v>179180.68384567281</c:v>
                </c:pt>
                <c:pt idx="37">
                  <c:v>175029.58726490117</c:v>
                </c:pt>
                <c:pt idx="38">
                  <c:v>171053.73520122567</c:v>
                </c:pt>
                <c:pt idx="39">
                  <c:v>167205.00387723179</c:v>
                </c:pt>
                <c:pt idx="40">
                  <c:v>163435.02889661797</c:v>
                </c:pt>
                <c:pt idx="41">
                  <c:v>159793.20404110107</c:v>
                </c:pt>
                <c:pt idx="42">
                  <c:v>156280.17006130656</c:v>
                </c:pt>
                <c:pt idx="43">
                  <c:v>152896.57091161309</c:v>
                </c:pt>
                <c:pt idx="44">
                  <c:v>149594.05376617116</c:v>
                </c:pt>
                <c:pt idx="45">
                  <c:v>146422.02403500202</c:v>
                </c:pt>
                <c:pt idx="46">
                  <c:v>143332.13415517702</c:v>
                </c:pt>
                <c:pt idx="47">
                  <c:v>140324.79482595291</c:v>
                </c:pt>
                <c:pt idx="48">
                  <c:v>137449.41880008267</c:v>
                </c:pt>
                <c:pt idx="49">
                  <c:v>134657.6658940831</c:v>
                </c:pt>
                <c:pt idx="50">
                  <c:v>131949.9542235535</c:v>
                </c:pt>
                <c:pt idx="51">
                  <c:v>129326.70399467126</c:v>
                </c:pt>
                <c:pt idx="52">
                  <c:v>126788.33751464462</c:v>
                </c:pt>
                <c:pt idx="53">
                  <c:v>124335.27920221785</c:v>
                </c:pt>
                <c:pt idx="54">
                  <c:v>121967.95559822893</c:v>
                </c:pt>
                <c:pt idx="55">
                  <c:v>119686.79537622008</c:v>
                </c:pt>
                <c:pt idx="56">
                  <c:v>117443.22935310118</c:v>
                </c:pt>
                <c:pt idx="57">
                  <c:v>115286.44549986669</c:v>
                </c:pt>
                <c:pt idx="58">
                  <c:v>113216.87772736602</c:v>
                </c:pt>
                <c:pt idx="59">
                  <c:v>111234.96211600285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F-4AEC-B103-7BB2800806CC}"/>
            </c:ext>
          </c:extLst>
        </c:ser>
        <c:ser>
          <c:idx val="1"/>
          <c:order val="1"/>
          <c:tx>
            <c:v>Growth MRR</c:v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Revenue!$C$83:$BJ$83</c:f>
              <c:numCache>
                <c:formatCode>\$#,##0;"($"#,##0\);\-</c:formatCode>
                <c:ptCount val="60"/>
                <c:pt idx="0">
                  <c:v>3131.384</c:v>
                </c:pt>
                <c:pt idx="1">
                  <c:v>6136.4350720000002</c:v>
                </c:pt>
                <c:pt idx="2">
                  <c:v>9165.5265525760005</c:v>
                </c:pt>
                <c:pt idx="3">
                  <c:v>12367.850764996609</c:v>
                </c:pt>
                <c:pt idx="4">
                  <c:v>15744.793571116581</c:v>
                </c:pt>
                <c:pt idx="5">
                  <c:v>19297.751919685514</c:v>
                </c:pt>
                <c:pt idx="6">
                  <c:v>22879.133935042999</c:v>
                </c:pt>
                <c:pt idx="7">
                  <c:v>26787.167006523341</c:v>
                </c:pt>
                <c:pt idx="8">
                  <c:v>30875.464342575528</c:v>
                </c:pt>
                <c:pt idx="9">
                  <c:v>35294.468057316131</c:v>
                </c:pt>
                <c:pt idx="10">
                  <c:v>39897.823801774663</c:v>
                </c:pt>
                <c:pt idx="11">
                  <c:v>44836.006392188858</c:v>
                </c:pt>
                <c:pt idx="12">
                  <c:v>49962.694443326371</c:v>
                </c:pt>
                <c:pt idx="13">
                  <c:v>55577.395998872984</c:v>
                </c:pt>
                <c:pt idx="14">
                  <c:v>61386.015166863966</c:v>
                </c:pt>
                <c:pt idx="15">
                  <c:v>67539.103288198879</c:v>
                </c:pt>
                <c:pt idx="16">
                  <c:v>74039.416114504464</c:v>
                </c:pt>
                <c:pt idx="17">
                  <c:v>81038.731443420504</c:v>
                </c:pt>
                <c:pt idx="18">
                  <c:v>88392.041294967872</c:v>
                </c:pt>
                <c:pt idx="19">
                  <c:v>96251.177625327618</c:v>
                </c:pt>
                <c:pt idx="20">
                  <c:v>104620.18704633023</c:v>
                </c:pt>
                <c:pt idx="21">
                  <c:v>113503.14854270087</c:v>
                </c:pt>
                <c:pt idx="22">
                  <c:v>122904.17373104248</c:v>
                </c:pt>
                <c:pt idx="23">
                  <c:v>132976.40712089083</c:v>
                </c:pt>
                <c:pt idx="24">
                  <c:v>143576.21837785796</c:v>
                </c:pt>
                <c:pt idx="25">
                  <c:v>154856.82812488082</c:v>
                </c:pt>
                <c:pt idx="26">
                  <c:v>166972.68274987987</c:v>
                </c:pt>
                <c:pt idx="27">
                  <c:v>179781.46421187892</c:v>
                </c:pt>
                <c:pt idx="28">
                  <c:v>193437.71592557395</c:v>
                </c:pt>
                <c:pt idx="29">
                  <c:v>207948.21765297855</c:v>
                </c:pt>
                <c:pt idx="30">
                  <c:v>223468.80339420238</c:v>
                </c:pt>
                <c:pt idx="31">
                  <c:v>240156.55382135601</c:v>
                </c:pt>
                <c:pt idx="32">
                  <c:v>257871.80625192687</c:v>
                </c:pt>
                <c:pt idx="33">
                  <c:v>276622.78070194228</c:v>
                </c:pt>
                <c:pt idx="34">
                  <c:v>296715.76294755784</c:v>
                </c:pt>
                <c:pt idx="35">
                  <c:v>318161.48905113828</c:v>
                </c:pt>
                <c:pt idx="36">
                  <c:v>314895.78096354741</c:v>
                </c:pt>
                <c:pt idx="37">
                  <c:v>311752.94721125579</c:v>
                </c:pt>
                <c:pt idx="38">
                  <c:v>308733.97078894585</c:v>
                </c:pt>
                <c:pt idx="39">
                  <c:v>305690.84255525743</c:v>
                </c:pt>
                <c:pt idx="40">
                  <c:v>302772.36929569952</c:v>
                </c:pt>
                <c:pt idx="41">
                  <c:v>299979.54825006513</c:v>
                </c:pt>
                <c:pt idx="42">
                  <c:v>297313.38463606563</c:v>
                </c:pt>
                <c:pt idx="43">
                  <c:v>294625.89171315415</c:v>
                </c:pt>
                <c:pt idx="44">
                  <c:v>292065.8988468594</c:v>
                </c:pt>
                <c:pt idx="45">
                  <c:v>289634.42603763426</c:v>
                </c:pt>
                <c:pt idx="46">
                  <c:v>287183.50144593534</c:v>
                </c:pt>
                <c:pt idx="47">
                  <c:v>284861.96945750283</c:v>
                </c:pt>
                <c:pt idx="48">
                  <c:v>282670.86521316285</c:v>
                </c:pt>
                <c:pt idx="49">
                  <c:v>280462.23213486816</c:v>
                </c:pt>
                <c:pt idx="50">
                  <c:v>278384.92999194708</c:v>
                </c:pt>
                <c:pt idx="51">
                  <c:v>276291.00943188265</c:v>
                </c:pt>
                <c:pt idx="52">
                  <c:v>274329.33750733768</c:v>
                </c:pt>
                <c:pt idx="53">
                  <c:v>272351.97220739641</c:v>
                </c:pt>
                <c:pt idx="54">
                  <c:v>270507.78798505559</c:v>
                </c:pt>
                <c:pt idx="55">
                  <c:v>268797.85028893605</c:v>
                </c:pt>
                <c:pt idx="56">
                  <c:v>267074.23309124756</c:v>
                </c:pt>
                <c:pt idx="57">
                  <c:v>265485.82695597754</c:v>
                </c:pt>
                <c:pt idx="58">
                  <c:v>263884.71357162535</c:v>
                </c:pt>
                <c:pt idx="59">
                  <c:v>262419.79128019838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F-4AEC-B103-7BB2800806CC}"/>
            </c:ext>
          </c:extLst>
        </c:ser>
        <c:ser>
          <c:idx val="2"/>
          <c:order val="2"/>
          <c:tx>
            <c:v>Enterprise MRR</c:v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Revenue!$C$89:$BJ$89</c:f>
              <c:numCache>
                <c:formatCode>\$#,##0;"($"#,##0\);\-</c:formatCode>
                <c:ptCount val="60"/>
                <c:pt idx="0">
                  <c:v>3500.4850000000001</c:v>
                </c:pt>
                <c:pt idx="1">
                  <c:v>7045.9922750000005</c:v>
                </c:pt>
                <c:pt idx="2">
                  <c:v>10644.682159125001</c:v>
                </c:pt>
                <c:pt idx="3">
                  <c:v>14297.352391511877</c:v>
                </c:pt>
                <c:pt idx="4">
                  <c:v>18503.812677384558</c:v>
                </c:pt>
                <c:pt idx="5">
                  <c:v>22773.369867545327</c:v>
                </c:pt>
                <c:pt idx="6">
                  <c:v>27605.970415558506</c:v>
                </c:pt>
                <c:pt idx="7">
                  <c:v>32012.059971791885</c:v>
                </c:pt>
                <c:pt idx="8">
                  <c:v>36983.240871368762</c:v>
                </c:pt>
                <c:pt idx="9">
                  <c:v>42527.989484439291</c:v>
                </c:pt>
                <c:pt idx="10">
                  <c:v>48155.909326705878</c:v>
                </c:pt>
                <c:pt idx="11">
                  <c:v>54367.247966606468</c:v>
                </c:pt>
                <c:pt idx="12">
                  <c:v>61170.756686105567</c:v>
                </c:pt>
                <c:pt idx="13">
                  <c:v>68575.318036397148</c:v>
                </c:pt>
                <c:pt idx="14">
                  <c:v>76090.947806943106</c:v>
                </c:pt>
                <c:pt idx="15">
                  <c:v>84218.312024047249</c:v>
                </c:pt>
                <c:pt idx="16">
                  <c:v>92467.586704407964</c:v>
                </c:pt>
                <c:pt idx="17">
                  <c:v>101339.60050497408</c:v>
                </c:pt>
                <c:pt idx="18">
                  <c:v>110843.69451254868</c:v>
                </c:pt>
                <c:pt idx="19">
                  <c:v>121488.34993023692</c:v>
                </c:pt>
                <c:pt idx="20">
                  <c:v>132791.6751791905</c:v>
                </c:pt>
                <c:pt idx="21">
                  <c:v>144763.55030687834</c:v>
                </c:pt>
                <c:pt idx="22">
                  <c:v>157414.00356148151</c:v>
                </c:pt>
                <c:pt idx="23">
                  <c:v>170753.21361490374</c:v>
                </c:pt>
                <c:pt idx="24">
                  <c:v>185290.51181912731</c:v>
                </c:pt>
                <c:pt idx="25">
                  <c:v>201043.86949641421</c:v>
                </c:pt>
                <c:pt idx="26">
                  <c:v>218031.52753886042</c:v>
                </c:pt>
                <c:pt idx="27">
                  <c:v>235773.00045194331</c:v>
                </c:pt>
                <c:pt idx="28">
                  <c:v>254778.59545872247</c:v>
                </c:pt>
                <c:pt idx="29">
                  <c:v>275067.2743906033</c:v>
                </c:pt>
                <c:pt idx="30">
                  <c:v>296658.28350646235</c:v>
                </c:pt>
                <c:pt idx="31">
                  <c:v>319571.15775905928</c:v>
                </c:pt>
                <c:pt idx="32">
                  <c:v>344324.72512544517</c:v>
                </c:pt>
                <c:pt idx="33">
                  <c:v>370447.59600232687</c:v>
                </c:pt>
                <c:pt idx="34">
                  <c:v>398459.30994236178</c:v>
                </c:pt>
                <c:pt idx="35">
                  <c:v>428388.19959149719</c:v>
                </c:pt>
                <c:pt idx="36">
                  <c:v>431321.02258536965</c:v>
                </c:pt>
                <c:pt idx="37">
                  <c:v>434297.83792415017</c:v>
                </c:pt>
                <c:pt idx="38">
                  <c:v>437319.30549301242</c:v>
                </c:pt>
                <c:pt idx="39">
                  <c:v>440386.09507540759</c:v>
                </c:pt>
                <c:pt idx="40">
                  <c:v>443498.88650153868</c:v>
                </c:pt>
                <c:pt idx="41">
                  <c:v>446658.36979906174</c:v>
                </c:pt>
                <c:pt idx="42">
                  <c:v>449865.24534604768</c:v>
                </c:pt>
                <c:pt idx="43">
                  <c:v>453120.22402623837</c:v>
                </c:pt>
                <c:pt idx="44">
                  <c:v>456424.02738663193</c:v>
                </c:pt>
                <c:pt idx="45">
                  <c:v>459777.38779743144</c:v>
                </c:pt>
                <c:pt idx="46">
                  <c:v>463680.04861439293</c:v>
                </c:pt>
                <c:pt idx="47">
                  <c:v>467641.2493436088</c:v>
                </c:pt>
                <c:pt idx="48">
                  <c:v>471661.86808376294</c:v>
                </c:pt>
                <c:pt idx="49">
                  <c:v>475742.7961050194</c:v>
                </c:pt>
                <c:pt idx="50">
                  <c:v>479884.93804659467</c:v>
                </c:pt>
                <c:pt idx="51">
                  <c:v>484089.21211729362</c:v>
                </c:pt>
                <c:pt idx="52">
                  <c:v>488356.55029905302</c:v>
                </c:pt>
                <c:pt idx="53">
                  <c:v>492687.89855353883</c:v>
                </c:pt>
                <c:pt idx="54">
                  <c:v>497084.21703184192</c:v>
                </c:pt>
                <c:pt idx="55">
                  <c:v>501546.48028731957</c:v>
                </c:pt>
                <c:pt idx="56">
                  <c:v>506075.67749162938</c:v>
                </c:pt>
                <c:pt idx="57">
                  <c:v>510672.81265400379</c:v>
                </c:pt>
                <c:pt idx="58">
                  <c:v>515338.90484381386</c:v>
                </c:pt>
                <c:pt idx="59">
                  <c:v>520074.98841647105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F-4AEC-B103-7BB28008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0942"/>
        <c:axId val="171003"/>
      </c:areaChart>
      <c:catAx>
        <c:axId val="443909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003"/>
        <c:crosses val="autoZero"/>
        <c:auto val="1"/>
        <c:lblAlgn val="ctr"/>
        <c:lblOffset val="100"/>
        <c:noMultiLvlLbl val="0"/>
      </c:catAx>
      <c:valAx>
        <c:axId val="171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9094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ARR Growth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ARR ($)</c:v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Revenue!$C$92:$BJ$92</c:f>
              <c:numCache>
                <c:formatCode>\$#,##0;"($"#,##0\);\-</c:formatCode>
                <c:ptCount val="60"/>
                <c:pt idx="0">
                  <c:v>104293.12800000001</c:v>
                </c:pt>
                <c:pt idx="1">
                  <c:v>205367.38166399999</c:v>
                </c:pt>
                <c:pt idx="2">
                  <c:v>308068.64930791198</c:v>
                </c:pt>
                <c:pt idx="3">
                  <c:v>414200.31336943933</c:v>
                </c:pt>
                <c:pt idx="4">
                  <c:v>530368.23985080793</c:v>
                </c:pt>
                <c:pt idx="5">
                  <c:v>650707.35113990819</c:v>
                </c:pt>
                <c:pt idx="6">
                  <c:v>779452.41134882183</c:v>
                </c:pt>
                <c:pt idx="7">
                  <c:v>907726.0386770945</c:v>
                </c:pt>
                <c:pt idx="8">
                  <c:v>1046262.4540793299</c:v>
                </c:pt>
                <c:pt idx="9">
                  <c:v>1196975.2719706234</c:v>
                </c:pt>
                <c:pt idx="10">
                  <c:v>1353406.1079186727</c:v>
                </c:pt>
                <c:pt idx="11">
                  <c:v>1522200.1692343347</c:v>
                </c:pt>
                <c:pt idx="12">
                  <c:v>1701713.3360666181</c:v>
                </c:pt>
                <c:pt idx="13">
                  <c:v>1896829.0505492433</c:v>
                </c:pt>
                <c:pt idx="14">
                  <c:v>2097563.0202223165</c:v>
                </c:pt>
                <c:pt idx="15">
                  <c:v>2312327.6456062682</c:v>
                </c:pt>
                <c:pt idx="16">
                  <c:v>2535290.8889955608</c:v>
                </c:pt>
                <c:pt idx="17">
                  <c:v>2774296.8728251895</c:v>
                </c:pt>
                <c:pt idx="18">
                  <c:v>3027142.5035818759</c:v>
                </c:pt>
                <c:pt idx="19">
                  <c:v>3303525.5729279099</c:v>
                </c:pt>
                <c:pt idx="20">
                  <c:v>3596554.8451786898</c:v>
                </c:pt>
                <c:pt idx="21">
                  <c:v>3906998.9471597541</c:v>
                </c:pt>
                <c:pt idx="22">
                  <c:v>4236807.6812799145</c:v>
                </c:pt>
                <c:pt idx="23">
                  <c:v>4585613.9503680104</c:v>
                </c:pt>
                <c:pt idx="24">
                  <c:v>4959583.5564099913</c:v>
                </c:pt>
                <c:pt idx="25">
                  <c:v>5361381.0794719392</c:v>
                </c:pt>
                <c:pt idx="26">
                  <c:v>5792516.0950213633</c:v>
                </c:pt>
                <c:pt idx="27">
                  <c:v>6246713.4753801301</c:v>
                </c:pt>
                <c:pt idx="28">
                  <c:v>6731979.9355228916</c:v>
                </c:pt>
                <c:pt idx="29">
                  <c:v>7248653.0244288733</c:v>
                </c:pt>
                <c:pt idx="30">
                  <c:v>7800038.4983133981</c:v>
                </c:pt>
                <c:pt idx="31">
                  <c:v>8387702.5617479319</c:v>
                </c:pt>
                <c:pt idx="32">
                  <c:v>9017403.2494253274</c:v>
                </c:pt>
                <c:pt idx="33">
                  <c:v>9684208.6177125759</c:v>
                </c:pt>
                <c:pt idx="34">
                  <c:v>10398069.792426689</c:v>
                </c:pt>
                <c:pt idx="35">
                  <c:v>11160085.026048018</c:v>
                </c:pt>
                <c:pt idx="36">
                  <c:v>11104769.848735079</c:v>
                </c:pt>
                <c:pt idx="37">
                  <c:v>11052964.468803685</c:v>
                </c:pt>
                <c:pt idx="38">
                  <c:v>11005284.137798207</c:v>
                </c:pt>
                <c:pt idx="39">
                  <c:v>10959383.298094762</c:v>
                </c:pt>
                <c:pt idx="40">
                  <c:v>10916475.416326273</c:v>
                </c:pt>
                <c:pt idx="41">
                  <c:v>10877173.465082735</c:v>
                </c:pt>
                <c:pt idx="42">
                  <c:v>10841505.600521039</c:v>
                </c:pt>
                <c:pt idx="43">
                  <c:v>10807712.239812069</c:v>
                </c:pt>
                <c:pt idx="44">
                  <c:v>10777007.75999595</c:v>
                </c:pt>
                <c:pt idx="45">
                  <c:v>10750006.054440811</c:v>
                </c:pt>
                <c:pt idx="46">
                  <c:v>10730348.210586064</c:v>
                </c:pt>
                <c:pt idx="47">
                  <c:v>10713936.163524775</c:v>
                </c:pt>
                <c:pt idx="48">
                  <c:v>10701385.825164102</c:v>
                </c:pt>
                <c:pt idx="49">
                  <c:v>10690352.329607647</c:v>
                </c:pt>
                <c:pt idx="50">
                  <c:v>10682637.867145143</c:v>
                </c:pt>
                <c:pt idx="51">
                  <c:v>10676483.10652617</c:v>
                </c:pt>
                <c:pt idx="52">
                  <c:v>10673690.703852424</c:v>
                </c:pt>
                <c:pt idx="53">
                  <c:v>10672501.799557837</c:v>
                </c:pt>
                <c:pt idx="54">
                  <c:v>10674719.527381517</c:v>
                </c:pt>
                <c:pt idx="55">
                  <c:v>10680373.511429708</c:v>
                </c:pt>
                <c:pt idx="56">
                  <c:v>10687117.679231737</c:v>
                </c:pt>
                <c:pt idx="57">
                  <c:v>10697341.021318177</c:v>
                </c:pt>
                <c:pt idx="58">
                  <c:v>10709285.953713663</c:v>
                </c:pt>
                <c:pt idx="59">
                  <c:v>10724756.901752066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DE-48D0-9777-C9FA867B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438"/>
        <c:axId val="54411004"/>
      </c:lineChart>
      <c:catAx>
        <c:axId val="57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11004"/>
        <c:crosses val="autoZero"/>
        <c:auto val="1"/>
        <c:lblAlgn val="ctr"/>
        <c:lblOffset val="100"/>
        <c:noMultiLvlLbl val="0"/>
      </c:catAx>
      <c:valAx>
        <c:axId val="544110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Count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Starter</c:v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Revenue!$C$49:$BJ$49</c:f>
              <c:numCache>
                <c:formatCode>#,##0;\(#,##0\);\-</c:formatCode>
                <c:ptCount val="60"/>
                <c:pt idx="0">
                  <c:v>42</c:v>
                </c:pt>
                <c:pt idx="1">
                  <c:v>80</c:v>
                </c:pt>
                <c:pt idx="2">
                  <c:v>119</c:v>
                </c:pt>
                <c:pt idx="3">
                  <c:v>159</c:v>
                </c:pt>
                <c:pt idx="4">
                  <c:v>201</c:v>
                </c:pt>
                <c:pt idx="5">
                  <c:v>245</c:v>
                </c:pt>
                <c:pt idx="6">
                  <c:v>291</c:v>
                </c:pt>
                <c:pt idx="7">
                  <c:v>338</c:v>
                </c:pt>
                <c:pt idx="8">
                  <c:v>387</c:v>
                </c:pt>
                <c:pt idx="9">
                  <c:v>438</c:v>
                </c:pt>
                <c:pt idx="10">
                  <c:v>493</c:v>
                </c:pt>
                <c:pt idx="11">
                  <c:v>550</c:v>
                </c:pt>
                <c:pt idx="12">
                  <c:v>609</c:v>
                </c:pt>
                <c:pt idx="13">
                  <c:v>672</c:v>
                </c:pt>
                <c:pt idx="14">
                  <c:v>738</c:v>
                </c:pt>
                <c:pt idx="15">
                  <c:v>808</c:v>
                </c:pt>
                <c:pt idx="16">
                  <c:v>882</c:v>
                </c:pt>
                <c:pt idx="17">
                  <c:v>960</c:v>
                </c:pt>
                <c:pt idx="18">
                  <c:v>1041</c:v>
                </c:pt>
                <c:pt idx="19">
                  <c:v>1128</c:v>
                </c:pt>
                <c:pt idx="20">
                  <c:v>1219</c:v>
                </c:pt>
                <c:pt idx="21">
                  <c:v>1315</c:v>
                </c:pt>
                <c:pt idx="22">
                  <c:v>1419</c:v>
                </c:pt>
                <c:pt idx="23">
                  <c:v>1527</c:v>
                </c:pt>
                <c:pt idx="24">
                  <c:v>1642</c:v>
                </c:pt>
                <c:pt idx="25">
                  <c:v>1765</c:v>
                </c:pt>
                <c:pt idx="26">
                  <c:v>1895</c:v>
                </c:pt>
                <c:pt idx="27">
                  <c:v>2034</c:v>
                </c:pt>
                <c:pt idx="28">
                  <c:v>2182</c:v>
                </c:pt>
                <c:pt idx="29">
                  <c:v>2339</c:v>
                </c:pt>
                <c:pt idx="30">
                  <c:v>2507</c:v>
                </c:pt>
                <c:pt idx="31">
                  <c:v>2685</c:v>
                </c:pt>
                <c:pt idx="32">
                  <c:v>2875</c:v>
                </c:pt>
                <c:pt idx="33">
                  <c:v>3078</c:v>
                </c:pt>
                <c:pt idx="34">
                  <c:v>3294</c:v>
                </c:pt>
                <c:pt idx="35">
                  <c:v>3524</c:v>
                </c:pt>
                <c:pt idx="36">
                  <c:v>3418</c:v>
                </c:pt>
                <c:pt idx="37">
                  <c:v>3315</c:v>
                </c:pt>
                <c:pt idx="38">
                  <c:v>3216</c:v>
                </c:pt>
                <c:pt idx="39">
                  <c:v>3120</c:v>
                </c:pt>
                <c:pt idx="40">
                  <c:v>3026</c:v>
                </c:pt>
                <c:pt idx="41">
                  <c:v>2935</c:v>
                </c:pt>
                <c:pt idx="42">
                  <c:v>2847</c:v>
                </c:pt>
                <c:pt idx="43">
                  <c:v>2762</c:v>
                </c:pt>
                <c:pt idx="44">
                  <c:v>2679</c:v>
                </c:pt>
                <c:pt idx="45">
                  <c:v>2599</c:v>
                </c:pt>
                <c:pt idx="46">
                  <c:v>2521</c:v>
                </c:pt>
                <c:pt idx="47">
                  <c:v>2445</c:v>
                </c:pt>
                <c:pt idx="48">
                  <c:v>2372</c:v>
                </c:pt>
                <c:pt idx="49">
                  <c:v>2301</c:v>
                </c:pt>
                <c:pt idx="50">
                  <c:v>2232</c:v>
                </c:pt>
                <c:pt idx="51">
                  <c:v>2165</c:v>
                </c:pt>
                <c:pt idx="52">
                  <c:v>2100</c:v>
                </c:pt>
                <c:pt idx="53">
                  <c:v>2037</c:v>
                </c:pt>
                <c:pt idx="54">
                  <c:v>1976</c:v>
                </c:pt>
                <c:pt idx="55">
                  <c:v>1917</c:v>
                </c:pt>
                <c:pt idx="56">
                  <c:v>1859</c:v>
                </c:pt>
                <c:pt idx="57">
                  <c:v>1803</c:v>
                </c:pt>
                <c:pt idx="58">
                  <c:v>1749</c:v>
                </c:pt>
                <c:pt idx="59">
                  <c:v>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D-4ED6-B9D5-F88B2410DBBD}"/>
            </c:ext>
          </c:extLst>
        </c:ser>
        <c:ser>
          <c:idx val="1"/>
          <c:order val="1"/>
          <c:tx>
            <c:v>Growth</c:v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Revenue!$C$56:$BJ$56</c:f>
              <c:numCache>
                <c:formatCode>#,##0;\(#,##0\);\-</c:formatCode>
                <c:ptCount val="60"/>
                <c:pt idx="0">
                  <c:v>21</c:v>
                </c:pt>
                <c:pt idx="1">
                  <c:v>41</c:v>
                </c:pt>
                <c:pt idx="2">
                  <c:v>61</c:v>
                </c:pt>
                <c:pt idx="3">
                  <c:v>82</c:v>
                </c:pt>
                <c:pt idx="4">
                  <c:v>104</c:v>
                </c:pt>
                <c:pt idx="5">
                  <c:v>127</c:v>
                </c:pt>
                <c:pt idx="6">
                  <c:v>150</c:v>
                </c:pt>
                <c:pt idx="7">
                  <c:v>175</c:v>
                </c:pt>
                <c:pt idx="8">
                  <c:v>201</c:v>
                </c:pt>
                <c:pt idx="9">
                  <c:v>229</c:v>
                </c:pt>
                <c:pt idx="10">
                  <c:v>258</c:v>
                </c:pt>
                <c:pt idx="11">
                  <c:v>289</c:v>
                </c:pt>
                <c:pt idx="12">
                  <c:v>321</c:v>
                </c:pt>
                <c:pt idx="13">
                  <c:v>356</c:v>
                </c:pt>
                <c:pt idx="14">
                  <c:v>392</c:v>
                </c:pt>
                <c:pt idx="15">
                  <c:v>430</c:v>
                </c:pt>
                <c:pt idx="16">
                  <c:v>470</c:v>
                </c:pt>
                <c:pt idx="17">
                  <c:v>513</c:v>
                </c:pt>
                <c:pt idx="18">
                  <c:v>558</c:v>
                </c:pt>
                <c:pt idx="19">
                  <c:v>606</c:v>
                </c:pt>
                <c:pt idx="20">
                  <c:v>657</c:v>
                </c:pt>
                <c:pt idx="21">
                  <c:v>711</c:v>
                </c:pt>
                <c:pt idx="22">
                  <c:v>768</c:v>
                </c:pt>
                <c:pt idx="23">
                  <c:v>829</c:v>
                </c:pt>
                <c:pt idx="24">
                  <c:v>893</c:v>
                </c:pt>
                <c:pt idx="25">
                  <c:v>961</c:v>
                </c:pt>
                <c:pt idx="26">
                  <c:v>1034</c:v>
                </c:pt>
                <c:pt idx="27">
                  <c:v>1111</c:v>
                </c:pt>
                <c:pt idx="28">
                  <c:v>1193</c:v>
                </c:pt>
                <c:pt idx="29">
                  <c:v>1280</c:v>
                </c:pt>
                <c:pt idx="30">
                  <c:v>1373</c:v>
                </c:pt>
                <c:pt idx="31">
                  <c:v>1473</c:v>
                </c:pt>
                <c:pt idx="32">
                  <c:v>1579</c:v>
                </c:pt>
                <c:pt idx="33">
                  <c:v>1691</c:v>
                </c:pt>
                <c:pt idx="34">
                  <c:v>1811</c:v>
                </c:pt>
                <c:pt idx="35">
                  <c:v>1939</c:v>
                </c:pt>
                <c:pt idx="36">
                  <c:v>1900</c:v>
                </c:pt>
                <c:pt idx="37">
                  <c:v>1862</c:v>
                </c:pt>
                <c:pt idx="38">
                  <c:v>1825</c:v>
                </c:pt>
                <c:pt idx="39">
                  <c:v>1788</c:v>
                </c:pt>
                <c:pt idx="40">
                  <c:v>1752</c:v>
                </c:pt>
                <c:pt idx="41">
                  <c:v>1717</c:v>
                </c:pt>
                <c:pt idx="42">
                  <c:v>1683</c:v>
                </c:pt>
                <c:pt idx="43">
                  <c:v>1649</c:v>
                </c:pt>
                <c:pt idx="44">
                  <c:v>1616</c:v>
                </c:pt>
                <c:pt idx="45">
                  <c:v>1584</c:v>
                </c:pt>
                <c:pt idx="46">
                  <c:v>1552</c:v>
                </c:pt>
                <c:pt idx="47">
                  <c:v>1521</c:v>
                </c:pt>
                <c:pt idx="48">
                  <c:v>1491</c:v>
                </c:pt>
                <c:pt idx="49">
                  <c:v>1461</c:v>
                </c:pt>
                <c:pt idx="50">
                  <c:v>1432</c:v>
                </c:pt>
                <c:pt idx="51">
                  <c:v>1403</c:v>
                </c:pt>
                <c:pt idx="52">
                  <c:v>1375</c:v>
                </c:pt>
                <c:pt idx="53">
                  <c:v>1347</c:v>
                </c:pt>
                <c:pt idx="54">
                  <c:v>1320</c:v>
                </c:pt>
                <c:pt idx="55">
                  <c:v>1294</c:v>
                </c:pt>
                <c:pt idx="56">
                  <c:v>1268</c:v>
                </c:pt>
                <c:pt idx="57">
                  <c:v>1243</c:v>
                </c:pt>
                <c:pt idx="58">
                  <c:v>1218</c:v>
                </c:pt>
                <c:pt idx="59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D-4ED6-B9D5-F88B2410DBBD}"/>
            </c:ext>
          </c:extLst>
        </c:ser>
        <c:ser>
          <c:idx val="2"/>
          <c:order val="2"/>
          <c:tx>
            <c:v>Enterprise</c:v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Revenue!$C$63:$BJ$63</c:f>
              <c:numCache>
                <c:formatCode>#,##0;\(#,##0\);\-</c:formatCode>
                <c:ptCount val="6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36</c:v>
                </c:pt>
                <c:pt idx="5">
                  <c:v>44</c:v>
                </c:pt>
                <c:pt idx="6">
                  <c:v>53</c:v>
                </c:pt>
                <c:pt idx="7">
                  <c:v>61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101</c:v>
                </c:pt>
                <c:pt idx="12">
                  <c:v>113</c:v>
                </c:pt>
                <c:pt idx="13">
                  <c:v>126</c:v>
                </c:pt>
                <c:pt idx="14">
                  <c:v>139</c:v>
                </c:pt>
                <c:pt idx="15">
                  <c:v>153</c:v>
                </c:pt>
                <c:pt idx="16">
                  <c:v>167</c:v>
                </c:pt>
                <c:pt idx="17">
                  <c:v>182</c:v>
                </c:pt>
                <c:pt idx="18">
                  <c:v>198</c:v>
                </c:pt>
                <c:pt idx="19">
                  <c:v>216</c:v>
                </c:pt>
                <c:pt idx="20">
                  <c:v>235</c:v>
                </c:pt>
                <c:pt idx="21">
                  <c:v>255</c:v>
                </c:pt>
                <c:pt idx="22">
                  <c:v>276</c:v>
                </c:pt>
                <c:pt idx="23">
                  <c:v>298</c:v>
                </c:pt>
                <c:pt idx="24">
                  <c:v>322</c:v>
                </c:pt>
                <c:pt idx="25">
                  <c:v>348</c:v>
                </c:pt>
                <c:pt idx="26">
                  <c:v>376</c:v>
                </c:pt>
                <c:pt idx="27">
                  <c:v>405</c:v>
                </c:pt>
                <c:pt idx="28">
                  <c:v>436</c:v>
                </c:pt>
                <c:pt idx="29">
                  <c:v>469</c:v>
                </c:pt>
                <c:pt idx="30">
                  <c:v>504</c:v>
                </c:pt>
                <c:pt idx="31">
                  <c:v>541</c:v>
                </c:pt>
                <c:pt idx="32">
                  <c:v>581</c:v>
                </c:pt>
                <c:pt idx="33">
                  <c:v>623</c:v>
                </c:pt>
                <c:pt idx="34">
                  <c:v>668</c:v>
                </c:pt>
                <c:pt idx="35">
                  <c:v>716</c:v>
                </c:pt>
                <c:pt idx="36">
                  <c:v>709</c:v>
                </c:pt>
                <c:pt idx="37">
                  <c:v>702</c:v>
                </c:pt>
                <c:pt idx="38">
                  <c:v>695</c:v>
                </c:pt>
                <c:pt idx="39">
                  <c:v>688</c:v>
                </c:pt>
                <c:pt idx="40">
                  <c:v>681</c:v>
                </c:pt>
                <c:pt idx="41">
                  <c:v>674</c:v>
                </c:pt>
                <c:pt idx="42">
                  <c:v>667</c:v>
                </c:pt>
                <c:pt idx="43">
                  <c:v>660</c:v>
                </c:pt>
                <c:pt idx="44">
                  <c:v>653</c:v>
                </c:pt>
                <c:pt idx="45">
                  <c:v>646</c:v>
                </c:pt>
                <c:pt idx="46">
                  <c:v>640</c:v>
                </c:pt>
                <c:pt idx="47">
                  <c:v>634</c:v>
                </c:pt>
                <c:pt idx="48">
                  <c:v>628</c:v>
                </c:pt>
                <c:pt idx="49">
                  <c:v>622</c:v>
                </c:pt>
                <c:pt idx="50">
                  <c:v>616</c:v>
                </c:pt>
                <c:pt idx="51">
                  <c:v>610</c:v>
                </c:pt>
                <c:pt idx="52">
                  <c:v>604</c:v>
                </c:pt>
                <c:pt idx="53">
                  <c:v>598</c:v>
                </c:pt>
                <c:pt idx="54">
                  <c:v>592</c:v>
                </c:pt>
                <c:pt idx="55">
                  <c:v>586</c:v>
                </c:pt>
                <c:pt idx="56">
                  <c:v>580</c:v>
                </c:pt>
                <c:pt idx="57">
                  <c:v>574</c:v>
                </c:pt>
                <c:pt idx="58">
                  <c:v>568</c:v>
                </c:pt>
                <c:pt idx="59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AD-4ED6-B9D5-F88B2410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99279"/>
        <c:axId val="91596807"/>
      </c:barChart>
      <c:catAx>
        <c:axId val="74899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96807"/>
        <c:crosses val="autoZero"/>
        <c:auto val="1"/>
        <c:lblAlgn val="ctr"/>
        <c:lblOffset val="100"/>
        <c:noMultiLvlLbl val="0"/>
      </c:catAx>
      <c:valAx>
        <c:axId val="9159680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99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Mix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Subscription Revenue</c:v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Revenue!$C$102:$BJ$102</c:f>
              <c:numCache>
                <c:formatCode>\$#,##0;"($"#,##0\);\-</c:formatCode>
                <c:ptCount val="60"/>
                <c:pt idx="0">
                  <c:v>8691.094000000001</c:v>
                </c:pt>
                <c:pt idx="1">
                  <c:v>20722.068871999996</c:v>
                </c:pt>
                <c:pt idx="2">
                  <c:v>36114.148762071454</c:v>
                </c:pt>
                <c:pt idx="3">
                  <c:v>54776.382406465898</c:v>
                </c:pt>
                <c:pt idx="4">
                  <c:v>77092.710108120664</c:v>
                </c:pt>
                <c:pt idx="5">
                  <c:v>102733.19717235744</c:v>
                </c:pt>
                <c:pt idx="6">
                  <c:v>131901.30502761222</c:v>
                </c:pt>
                <c:pt idx="7">
                  <c:v>163969.82053103056</c:v>
                </c:pt>
                <c:pt idx="8">
                  <c:v>199436.55325874797</c:v>
                </c:pt>
                <c:pt idx="9">
                  <c:v>238653.91327953868</c:v>
                </c:pt>
                <c:pt idx="10">
                  <c:v>281316.95433024573</c:v>
                </c:pt>
                <c:pt idx="11">
                  <c:v>327865.73987247521</c:v>
                </c:pt>
                <c:pt idx="12">
                  <c:v>378393.31651972863</c:v>
                </c:pt>
                <c:pt idx="13">
                  <c:v>433469.93045525544</c:v>
                </c:pt>
                <c:pt idx="14">
                  <c:v>492541.87512039015</c:v>
                </c:pt>
                <c:pt idx="15">
                  <c:v>556156.68714312278</c:v>
                </c:pt>
                <c:pt idx="16">
                  <c:v>624051.87666949269</c:v>
                </c:pt>
                <c:pt idx="17">
                  <c:v>696791.59760841471</c:v>
                </c:pt>
                <c:pt idx="18">
                  <c:v>774464.7078304264</c:v>
                </c:pt>
                <c:pt idx="19">
                  <c:v>858072.30455926107</c:v>
                </c:pt>
                <c:pt idx="20">
                  <c:v>947603.32248891832</c:v>
                </c:pt>
                <c:pt idx="21">
                  <c:v>1043326.8142273659</c:v>
                </c:pt>
                <c:pt idx="22">
                  <c:v>1145609.0015974664</c:v>
                </c:pt>
                <c:pt idx="23">
                  <c:v>1254641.6345430422</c:v>
                </c:pt>
                <c:pt idx="24">
                  <c:v>1371161.5832777654</c:v>
                </c:pt>
                <c:pt idx="25">
                  <c:v>1495878.6232989146</c:v>
                </c:pt>
                <c:pt idx="26">
                  <c:v>1629436.522178083</c:v>
                </c:pt>
                <c:pt idx="27">
                  <c:v>1771838.8569839713</c:v>
                </c:pt>
                <c:pt idx="28">
                  <c:v>1923913.3669403121</c:v>
                </c:pt>
                <c:pt idx="29">
                  <c:v>2086194.851666844</c:v>
                </c:pt>
                <c:pt idx="30">
                  <c:v>2259433.6279414869</c:v>
                </c:pt>
                <c:pt idx="31">
                  <c:v>2444278.0524371788</c:v>
                </c:pt>
                <c:pt idx="32">
                  <c:v>2641736.2041655108</c:v>
                </c:pt>
                <c:pt idx="33">
                  <c:v>2852159.8575726794</c:v>
                </c:pt>
                <c:pt idx="34">
                  <c:v>3076802.1782884719</c:v>
                </c:pt>
                <c:pt idx="35">
                  <c:v>3316559.6664510225</c:v>
                </c:pt>
                <c:pt idx="36">
                  <c:v>3500071.6630960428</c:v>
                </c:pt>
                <c:pt idx="37">
                  <c:v>3666535.5330592259</c:v>
                </c:pt>
                <c:pt idx="38">
                  <c:v>3817673.4910863386</c:v>
                </c:pt>
                <c:pt idx="39">
                  <c:v>3954819.7794411299</c:v>
                </c:pt>
                <c:pt idx="40">
                  <c:v>4079405.135530008</c:v>
                </c:pt>
                <c:pt idx="41">
                  <c:v>4192732.1988750161</c:v>
                </c:pt>
                <c:pt idx="42">
                  <c:v>4295951.7380593158</c:v>
                </c:pt>
                <c:pt idx="43">
                  <c:v>4389962.0415988797</c:v>
                </c:pt>
                <c:pt idx="44">
                  <c:v>4475762.995195399</c:v>
                </c:pt>
                <c:pt idx="45">
                  <c:v>4554265.5980114425</c:v>
                </c:pt>
                <c:pt idx="46">
                  <c:v>4626565.6254881136</c:v>
                </c:pt>
                <c:pt idx="47">
                  <c:v>4693280.2781079113</c:v>
                </c:pt>
                <c:pt idx="48">
                  <c:v>4755090.1540519875</c:v>
                </c:pt>
                <c:pt idx="49">
                  <c:v>4812382.6851642868</c:v>
                </c:pt>
                <c:pt idx="50">
                  <c:v>4865776.9880150519</c:v>
                </c:pt>
                <c:pt idx="51">
                  <c:v>4915605.4826709302</c:v>
                </c:pt>
                <c:pt idx="52">
                  <c:v>4962402.7258979427</c:v>
                </c:pt>
                <c:pt idx="53">
                  <c:v>5006424.2890248159</c:v>
                </c:pt>
                <c:pt idx="54">
                  <c:v>5048134.8904617941</c:v>
                </c:pt>
                <c:pt idx="55">
                  <c:v>5087875.6365829669</c:v>
                </c:pt>
                <c:pt idx="56">
                  <c:v>5125759.9171760976</c:v>
                </c:pt>
                <c:pt idx="57">
                  <c:v>5162206.7347302185</c:v>
                </c:pt>
                <c:pt idx="58">
                  <c:v>5197332.102833746</c:v>
                </c:pt>
                <c:pt idx="59">
                  <c:v>5231473.9342789939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F-492E-90DB-F29FB0021590}"/>
            </c:ext>
          </c:extLst>
        </c:ser>
        <c:ser>
          <c:idx val="1"/>
          <c:order val="1"/>
          <c:tx>
            <c:v>Services Revenue</c:v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Revenue!$C$104:$BJ$104</c:f>
              <c:numCache>
                <c:formatCode>\$#,##0;"($"#,##0\);\-</c:formatCode>
                <c:ptCount val="60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  <c:pt idx="5">
                  <c:v>7500</c:v>
                </c:pt>
                <c:pt idx="6">
                  <c:v>8000</c:v>
                </c:pt>
                <c:pt idx="7">
                  <c:v>8500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11000</c:v>
                </c:pt>
                <c:pt idx="14">
                  <c:v>11000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13000</c:v>
                </c:pt>
                <c:pt idx="19">
                  <c:v>13000</c:v>
                </c:pt>
                <c:pt idx="20">
                  <c:v>14000</c:v>
                </c:pt>
                <c:pt idx="21">
                  <c:v>14000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16000</c:v>
                </c:pt>
                <c:pt idx="26">
                  <c:v>16000</c:v>
                </c:pt>
                <c:pt idx="27">
                  <c:v>17000</c:v>
                </c:pt>
                <c:pt idx="28">
                  <c:v>17000</c:v>
                </c:pt>
                <c:pt idx="29">
                  <c:v>18000</c:v>
                </c:pt>
                <c:pt idx="30">
                  <c:v>18000</c:v>
                </c:pt>
                <c:pt idx="31">
                  <c:v>19000</c:v>
                </c:pt>
                <c:pt idx="32">
                  <c:v>19000</c:v>
                </c:pt>
                <c:pt idx="33">
                  <c:v>20000</c:v>
                </c:pt>
                <c:pt idx="34">
                  <c:v>20000</c:v>
                </c:pt>
                <c:pt idx="35">
                  <c:v>20000</c:v>
                </c:pt>
                <c:pt idx="36">
                  <c:v>20000</c:v>
                </c:pt>
                <c:pt idx="37">
                  <c:v>21000</c:v>
                </c:pt>
                <c:pt idx="38">
                  <c:v>21000</c:v>
                </c:pt>
                <c:pt idx="39">
                  <c:v>22000</c:v>
                </c:pt>
                <c:pt idx="40">
                  <c:v>22000</c:v>
                </c:pt>
                <c:pt idx="41">
                  <c:v>23000</c:v>
                </c:pt>
                <c:pt idx="42">
                  <c:v>23000</c:v>
                </c:pt>
                <c:pt idx="43">
                  <c:v>24000</c:v>
                </c:pt>
                <c:pt idx="44">
                  <c:v>24000</c:v>
                </c:pt>
                <c:pt idx="45">
                  <c:v>25000</c:v>
                </c:pt>
                <c:pt idx="46">
                  <c:v>25000</c:v>
                </c:pt>
                <c:pt idx="47">
                  <c:v>25000</c:v>
                </c:pt>
                <c:pt idx="48">
                  <c:v>25000</c:v>
                </c:pt>
                <c:pt idx="49">
                  <c:v>26000</c:v>
                </c:pt>
                <c:pt idx="50">
                  <c:v>27000</c:v>
                </c:pt>
                <c:pt idx="51">
                  <c:v>27000</c:v>
                </c:pt>
                <c:pt idx="52">
                  <c:v>28000</c:v>
                </c:pt>
                <c:pt idx="53">
                  <c:v>28000</c:v>
                </c:pt>
                <c:pt idx="54">
                  <c:v>29000</c:v>
                </c:pt>
                <c:pt idx="55">
                  <c:v>30000</c:v>
                </c:pt>
                <c:pt idx="56">
                  <c:v>30000</c:v>
                </c:pt>
                <c:pt idx="57">
                  <c:v>31000</c:v>
                </c:pt>
                <c:pt idx="58">
                  <c:v>32000</c:v>
                </c:pt>
                <c:pt idx="59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F-492E-90DB-F29FB002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868661"/>
        <c:axId val="18756101"/>
      </c:barChart>
      <c:catAx>
        <c:axId val="49868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56101"/>
        <c:crosses val="autoZero"/>
        <c:auto val="1"/>
        <c:lblAlgn val="ctr"/>
        <c:lblOffset val="100"/>
        <c:noMultiLvlLbl val="0"/>
      </c:catAx>
      <c:valAx>
        <c:axId val="187561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686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Gross Margin &amp; EBITDA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 %</c:v>
          </c:tx>
          <c:spPr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'P&amp;L'!$C$17:$BJ$17</c:f>
              <c:numCache>
                <c:formatCode>0.0%;\(0.0%\);\-</c:formatCode>
                <c:ptCount val="60"/>
                <c:pt idx="0">
                  <c:v>-0.15418095880431459</c:v>
                </c:pt>
                <c:pt idx="1">
                  <c:v>0.39070406389404733</c:v>
                </c:pt>
                <c:pt idx="2">
                  <c:v>0.61647093732672809</c:v>
                </c:pt>
                <c:pt idx="3">
                  <c:v>0.73355150289882043</c:v>
                </c:pt>
                <c:pt idx="4">
                  <c:v>0.80376420288057249</c:v>
                </c:pt>
                <c:pt idx="5">
                  <c:v>0.84871163653246562</c:v>
                </c:pt>
                <c:pt idx="6">
                  <c:v>0.87954365403043289</c:v>
                </c:pt>
                <c:pt idx="7">
                  <c:v>0.90127548142872616</c:v>
                </c:pt>
                <c:pt idx="8">
                  <c:v>0.91747128931533495</c:v>
                </c:pt>
                <c:pt idx="9">
                  <c:v>0.92997491044831815</c:v>
                </c:pt>
                <c:pt idx="10">
                  <c:v>0.93974947307700285</c:v>
                </c:pt>
                <c:pt idx="11">
                  <c:v>0.94805037052106889</c:v>
                </c:pt>
                <c:pt idx="12">
                  <c:v>0.94757273327342206</c:v>
                </c:pt>
                <c:pt idx="13">
                  <c:v>0.95339977222129513</c:v>
                </c:pt>
                <c:pt idx="14">
                  <c:v>0.95886657888175042</c:v>
                </c:pt>
                <c:pt idx="15">
                  <c:v>0.96292853630587605</c:v>
                </c:pt>
                <c:pt idx="16">
                  <c:v>0.96688571990340255</c:v>
                </c:pt>
                <c:pt idx="17">
                  <c:v>0.97028407211503609</c:v>
                </c:pt>
                <c:pt idx="18">
                  <c:v>0.97280843219121005</c:v>
                </c:pt>
                <c:pt idx="19">
                  <c:v>0.97541834370358715</c:v>
                </c:pt>
                <c:pt idx="20">
                  <c:v>0.97736863060781409</c:v>
                </c:pt>
                <c:pt idx="21">
                  <c:v>0.9794175275731537</c:v>
                </c:pt>
                <c:pt idx="22">
                  <c:v>0.98094758874904098</c:v>
                </c:pt>
                <c:pt idx="23">
                  <c:v>0.98258374694213746</c:v>
                </c:pt>
                <c:pt idx="24">
                  <c:v>0.98161478408618319</c:v>
                </c:pt>
                <c:pt idx="25">
                  <c:v>0.98291206740946691</c:v>
                </c:pt>
                <c:pt idx="26">
                  <c:v>0.9842990722207855</c:v>
                </c:pt>
                <c:pt idx="27">
                  <c:v>0.98536208004551717</c:v>
                </c:pt>
                <c:pt idx="28">
                  <c:v>0.9865089908462642</c:v>
                </c:pt>
                <c:pt idx="29">
                  <c:v>0.98738953287573139</c:v>
                </c:pt>
                <c:pt idx="30">
                  <c:v>0.98834878010298632</c:v>
                </c:pt>
                <c:pt idx="31">
                  <c:v>0.98908573071018113</c:v>
                </c:pt>
                <c:pt idx="32">
                  <c:v>0.98989569880775463</c:v>
                </c:pt>
                <c:pt idx="33">
                  <c:v>0.9905176308595105</c:v>
                </c:pt>
                <c:pt idx="34">
                  <c:v>0.99120548280708975</c:v>
                </c:pt>
                <c:pt idx="35">
                  <c:v>0.99183743654464041</c:v>
                </c:pt>
                <c:pt idx="36">
                  <c:v>0.99801140412185718</c:v>
                </c:pt>
                <c:pt idx="37">
                  <c:v>0.99800679886767019</c:v>
                </c:pt>
                <c:pt idx="38">
                  <c:v>0.99808527606813469</c:v>
                </c:pt>
                <c:pt idx="39">
                  <c:v>0.99806377949541325</c:v>
                </c:pt>
                <c:pt idx="40">
                  <c:v>0.99812259463633679</c:v>
                </c:pt>
                <c:pt idx="41">
                  <c:v>0.99809048591792715</c:v>
                </c:pt>
                <c:pt idx="42">
                  <c:v>0.99813612179801359</c:v>
                </c:pt>
                <c:pt idx="43">
                  <c:v>0.99809694783941616</c:v>
                </c:pt>
                <c:pt idx="44">
                  <c:v>0.99813323501505102</c:v>
                </c:pt>
                <c:pt idx="45">
                  <c:v>0.99808921325642264</c:v>
                </c:pt>
                <c:pt idx="46">
                  <c:v>0.99811891291997368</c:v>
                </c:pt>
                <c:pt idx="47">
                  <c:v>0.99814551076149527</c:v>
                </c:pt>
                <c:pt idx="48">
                  <c:v>0.99816949059159843</c:v>
                </c:pt>
                <c:pt idx="49">
                  <c:v>0.99811920623230099</c:v>
                </c:pt>
                <c:pt idx="50">
                  <c:v>0.99806858149816602</c:v>
                </c:pt>
                <c:pt idx="51">
                  <c:v>0.99808805294431602</c:v>
                </c:pt>
                <c:pt idx="52">
                  <c:v>0.99803623063342317</c:v>
                </c:pt>
                <c:pt idx="53">
                  <c:v>0.99805340205008852</c:v>
                </c:pt>
                <c:pt idx="54">
                  <c:v>0.99800084098236819</c:v>
                </c:pt>
                <c:pt idx="55">
                  <c:v>0.99794836749745441</c:v>
                </c:pt>
                <c:pt idx="56">
                  <c:v>0.99796344279627536</c:v>
                </c:pt>
                <c:pt idx="57">
                  <c:v>0.99791073212482773</c:v>
                </c:pt>
                <c:pt idx="58">
                  <c:v>0.99785823509011207</c:v>
                </c:pt>
                <c:pt idx="59">
                  <c:v>0.99787212777343526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E2-4E7E-B7A5-58E6C40539BB}"/>
            </c:ext>
          </c:extLst>
        </c:ser>
        <c:ser>
          <c:idx val="1"/>
          <c:order val="1"/>
          <c:tx>
            <c:v>EBITDA Margin %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'P&amp;L'!$C$43:$BJ$43</c:f>
              <c:numCache>
                <c:formatCode>0.0%;\(0.0%\);\-</c:formatCode>
                <c:ptCount val="60"/>
                <c:pt idx="0">
                  <c:v>-5.8178992854771137</c:v>
                </c:pt>
                <c:pt idx="1">
                  <c:v>-2.5664424670877284</c:v>
                </c:pt>
                <c:pt idx="2">
                  <c:v>-1.2247748738633528</c:v>
                </c:pt>
                <c:pt idx="3">
                  <c:v>-0.5319034236932183</c:v>
                </c:pt>
                <c:pt idx="4">
                  <c:v>-0.11834307491201086</c:v>
                </c:pt>
                <c:pt idx="5">
                  <c:v>0.14527109421782339</c:v>
                </c:pt>
                <c:pt idx="6">
                  <c:v>0.32527791659006022</c:v>
                </c:pt>
                <c:pt idx="7">
                  <c:v>0.45167508316050475</c:v>
                </c:pt>
                <c:pt idx="8">
                  <c:v>0.545451608565094</c:v>
                </c:pt>
                <c:pt idx="9">
                  <c:v>0.61749746862514421</c:v>
                </c:pt>
                <c:pt idx="10">
                  <c:v>0.67357032061993205</c:v>
                </c:pt>
                <c:pt idx="11">
                  <c:v>0.71854352549656952</c:v>
                </c:pt>
                <c:pt idx="12">
                  <c:v>0.69740364985392278</c:v>
                </c:pt>
                <c:pt idx="13">
                  <c:v>0.73479330788640029</c:v>
                </c:pt>
                <c:pt idx="14">
                  <c:v>0.76590546720306563</c:v>
                </c:pt>
                <c:pt idx="15">
                  <c:v>0.79191233215175039</c:v>
                </c:pt>
                <c:pt idx="16">
                  <c:v>0.81412459527820369</c:v>
                </c:pt>
                <c:pt idx="17">
                  <c:v>0.83320005429111132</c:v>
                </c:pt>
                <c:pt idx="18">
                  <c:v>0.84942004534184867</c:v>
                </c:pt>
                <c:pt idx="19">
                  <c:v>0.86387306842455924</c:v>
                </c:pt>
                <c:pt idx="20">
                  <c:v>0.87632488655282226</c:v>
                </c:pt>
                <c:pt idx="21">
                  <c:v>0.88752162680475988</c:v>
                </c:pt>
                <c:pt idx="22">
                  <c:v>0.89722947191015456</c:v>
                </c:pt>
                <c:pt idx="23">
                  <c:v>0.90605506565407423</c:v>
                </c:pt>
                <c:pt idx="24">
                  <c:v>0.8935315375347358</c:v>
                </c:pt>
                <c:pt idx="25">
                  <c:v>0.90215319522329662</c:v>
                </c:pt>
                <c:pt idx="26">
                  <c:v>0.91009529051647642</c:v>
                </c:pt>
                <c:pt idx="27">
                  <c:v>0.91710684731546577</c:v>
                </c:pt>
                <c:pt idx="28">
                  <c:v>0.92360169442608619</c:v>
                </c:pt>
                <c:pt idx="29">
                  <c:v>0.92936372200404338</c:v>
                </c:pt>
                <c:pt idx="30">
                  <c:v>0.93473684998919382</c:v>
                </c:pt>
                <c:pt idx="31">
                  <c:v>0.93951860515600516</c:v>
                </c:pt>
                <c:pt idx="32">
                  <c:v>0.94400704125919721</c:v>
                </c:pt>
                <c:pt idx="33">
                  <c:v>0.94800690076275784</c:v>
                </c:pt>
                <c:pt idx="34">
                  <c:v>0.95177848506211904</c:v>
                </c:pt>
                <c:pt idx="35">
                  <c:v>0.95524357199377186</c:v>
                </c:pt>
                <c:pt idx="36">
                  <c:v>0.99801140412185718</c:v>
                </c:pt>
                <c:pt idx="37">
                  <c:v>0.99800679886767019</c:v>
                </c:pt>
                <c:pt idx="38">
                  <c:v>0.99808527606813469</c:v>
                </c:pt>
                <c:pt idx="39">
                  <c:v>0.99806377949541325</c:v>
                </c:pt>
                <c:pt idx="40">
                  <c:v>0.99812259463633679</c:v>
                </c:pt>
                <c:pt idx="41">
                  <c:v>0.99809048591792715</c:v>
                </c:pt>
                <c:pt idx="42">
                  <c:v>0.99813612179801359</c:v>
                </c:pt>
                <c:pt idx="43">
                  <c:v>0.99809694783941616</c:v>
                </c:pt>
                <c:pt idx="44">
                  <c:v>0.99813323501505102</c:v>
                </c:pt>
                <c:pt idx="45">
                  <c:v>0.99808921325642264</c:v>
                </c:pt>
                <c:pt idx="46">
                  <c:v>0.99811891291997368</c:v>
                </c:pt>
                <c:pt idx="47">
                  <c:v>0.99814551076149527</c:v>
                </c:pt>
                <c:pt idx="48">
                  <c:v>0.99816949059159843</c:v>
                </c:pt>
                <c:pt idx="49">
                  <c:v>0.99811920623230099</c:v>
                </c:pt>
                <c:pt idx="50">
                  <c:v>0.99806858149816602</c:v>
                </c:pt>
                <c:pt idx="51">
                  <c:v>0.99808805294431602</c:v>
                </c:pt>
                <c:pt idx="52">
                  <c:v>0.99803623063342317</c:v>
                </c:pt>
                <c:pt idx="53">
                  <c:v>0.99805340205008852</c:v>
                </c:pt>
                <c:pt idx="54">
                  <c:v>0.99800084098236819</c:v>
                </c:pt>
                <c:pt idx="55">
                  <c:v>0.99794836749745441</c:v>
                </c:pt>
                <c:pt idx="56">
                  <c:v>0.99796344279627536</c:v>
                </c:pt>
                <c:pt idx="57">
                  <c:v>0.99791073212482773</c:v>
                </c:pt>
                <c:pt idx="58">
                  <c:v>0.99785823509011207</c:v>
                </c:pt>
                <c:pt idx="59">
                  <c:v>0.99787212777343526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E2-4E7E-B7A5-58E6C405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220292"/>
        <c:axId val="88262050"/>
      </c:lineChart>
      <c:catAx>
        <c:axId val="33220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62050"/>
        <c:crosses val="autoZero"/>
        <c:auto val="1"/>
        <c:lblAlgn val="ctr"/>
        <c:lblOffset val="100"/>
        <c:noMultiLvlLbl val="0"/>
      </c:catAx>
      <c:valAx>
        <c:axId val="8826205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2202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Cash Balance vs. Burn Rate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Burn ($)</c:v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'Cash Flow'!$C$19:$BJ$19</c:f>
              <c:numCache>
                <c:formatCode>\$#,##0;"($"#,##0\);\-</c:formatCode>
                <c:ptCount val="60"/>
                <c:pt idx="0">
                  <c:v>6275.8052000000025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5-43DA-8DF3-E1D098FA5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31484"/>
        <c:axId val="82162273"/>
      </c:barChart>
      <c:lineChart>
        <c:grouping val="standard"/>
        <c:varyColors val="0"/>
        <c:ser>
          <c:idx val="1"/>
          <c:order val="1"/>
          <c:tx>
            <c:v>Ending Cash ($)</c:v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'Cash Flow'!$C$27:$BJ$27</c:f>
              <c:numCache>
                <c:formatCode>\$#,##0;"($"#,##0\);\-</c:formatCode>
                <c:ptCount val="60"/>
                <c:pt idx="0">
                  <c:v>993724.19479999994</c:v>
                </c:pt>
                <c:pt idx="1">
                  <c:v>996727.49078239989</c:v>
                </c:pt>
                <c:pt idx="2">
                  <c:v>1048191.4394092191</c:v>
                </c:pt>
                <c:pt idx="3">
                  <c:v>1149456.6330466822</c:v>
                </c:pt>
                <c:pt idx="4">
                  <c:v>1305683.9459495745</c:v>
                </c:pt>
                <c:pt idx="5">
                  <c:v>1514745.2592542174</c:v>
                </c:pt>
                <c:pt idx="6">
                  <c:v>1772966.840908082</c:v>
                </c:pt>
                <c:pt idx="7">
                  <c:v>2088331.4928205279</c:v>
                </c:pt>
                <c:pt idx="8">
                  <c:v>2460204.0325263571</c:v>
                </c:pt>
                <c:pt idx="9">
                  <c:v>2893861.5899010962</c:v>
                </c:pt>
                <c:pt idx="10">
                  <c:v>3390850.1309759868</c:v>
                </c:pt>
                <c:pt idx="11">
                  <c:v>3956150.4931606823</c:v>
                </c:pt>
                <c:pt idx="12">
                  <c:v>4587620.9744721856</c:v>
                </c:pt>
                <c:pt idx="13">
                  <c:v>5289147.6902377317</c:v>
                </c:pt>
                <c:pt idx="14">
                  <c:v>6071787.4356980063</c:v>
                </c:pt>
                <c:pt idx="15">
                  <c:v>6941555.5299513442</c:v>
                </c:pt>
                <c:pt idx="16">
                  <c:v>7900383.2898412514</c:v>
                </c:pt>
                <c:pt idx="17">
                  <c:v>8954601.2095269822</c:v>
                </c:pt>
                <c:pt idx="18">
                  <c:v>10110648.116213437</c:v>
                </c:pt>
                <c:pt idx="19">
                  <c:v>11378262.270289458</c:v>
                </c:pt>
                <c:pt idx="20">
                  <c:v>12764896.007825775</c:v>
                </c:pt>
                <c:pt idx="21">
                  <c:v>14276900.627434049</c:v>
                </c:pt>
                <c:pt idx="22">
                  <c:v>15922003.047174813</c:v>
                </c:pt>
                <c:pt idx="23">
                  <c:v>17707283.704716206</c:v>
                </c:pt>
                <c:pt idx="24">
                  <c:v>19634731.457042824</c:v>
                </c:pt>
                <c:pt idx="25">
                  <c:v>21712827.778221395</c:v>
                </c:pt>
                <c:pt idx="26">
                  <c:v>23965903.991723292</c:v>
                </c:pt>
                <c:pt idx="27">
                  <c:v>26403051.367169101</c:v>
                </c:pt>
                <c:pt idx="28">
                  <c:v>29036303.435244285</c:v>
                </c:pt>
                <c:pt idx="29">
                  <c:v>31879012.233484477</c:v>
                </c:pt>
                <c:pt idx="30">
                  <c:v>34944415.156285107</c:v>
                </c:pt>
                <c:pt idx="31">
                  <c:v>38247441.572914831</c:v>
                </c:pt>
                <c:pt idx="32">
                  <c:v>41805257.458845496</c:v>
                </c:pt>
                <c:pt idx="33">
                  <c:v>45632878.870334893</c:v>
                </c:pt>
                <c:pt idx="34">
                  <c:v>49748927.428243339</c:v>
                </c:pt>
                <c:pt idx="35">
                  <c:v>54173072.750205792</c:v>
                </c:pt>
                <c:pt idx="36">
                  <c:v>58629789.477281883</c:v>
                </c:pt>
                <c:pt idx="37">
                  <c:v>63100326.128530994</c:v>
                </c:pt>
                <c:pt idx="38">
                  <c:v>67528438.117774501</c:v>
                </c:pt>
                <c:pt idx="39">
                  <c:v>71918879.396865591</c:v>
                </c:pt>
                <c:pt idx="40">
                  <c:v>76275450.604980856</c:v>
                </c:pt>
                <c:pt idx="41">
                  <c:v>80602787.727924377</c:v>
                </c:pt>
                <c:pt idx="42">
                  <c:v>84904315.301034749</c:v>
                </c:pt>
                <c:pt idx="43">
                  <c:v>89183594.853207976</c:v>
                </c:pt>
                <c:pt idx="44">
                  <c:v>93443381.781741828</c:v>
                </c:pt>
                <c:pt idx="45">
                  <c:v>97687365.209640592</c:v>
                </c:pt>
                <c:pt idx="46">
                  <c:v>101920886.43260898</c:v>
                </c:pt>
                <c:pt idx="47">
                  <c:v>106146777.64036953</c:v>
                </c:pt>
                <c:pt idx="48">
                  <c:v>110367730.9068207</c:v>
                </c:pt>
                <c:pt idx="49">
                  <c:v>114586138.48526014</c:v>
                </c:pt>
                <c:pt idx="50">
                  <c:v>118804248.59033951</c:v>
                </c:pt>
                <c:pt idx="51">
                  <c:v>123023222.51920965</c:v>
                </c:pt>
                <c:pt idx="52">
                  <c:v>127245600.43162769</c:v>
                </c:pt>
                <c:pt idx="53">
                  <c:v>131472367.54182446</c:v>
                </c:pt>
                <c:pt idx="54">
                  <c:v>135705905.64952925</c:v>
                </c:pt>
                <c:pt idx="55">
                  <c:v>139948133.79205027</c:v>
                </c:pt>
                <c:pt idx="56">
                  <c:v>144199725.85123038</c:v>
                </c:pt>
                <c:pt idx="57">
                  <c:v>148462841.96705988</c:v>
                </c:pt>
                <c:pt idx="58">
                  <c:v>152738649.4287563</c:v>
                </c:pt>
                <c:pt idx="59">
                  <c:v>157028282.02218136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45-43DA-8DF3-E1D098FA5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631484"/>
        <c:axId val="82162273"/>
      </c:lineChart>
      <c:catAx>
        <c:axId val="256314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62273"/>
        <c:crosses val="autoZero"/>
        <c:auto val="1"/>
        <c:lblAlgn val="ctr"/>
        <c:lblOffset val="100"/>
        <c:noMultiLvlLbl val="0"/>
      </c:catAx>
      <c:valAx>
        <c:axId val="8216227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314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LTV:CAC &amp; Magic Number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LTV:CAC</c:v>
          </c:tx>
          <c:spPr>
            <a:ln w="201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Dashboard'!$C$18:$BJ$18</c:f>
              <c:numCache>
                <c:formatCode>0.0\x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96-4ABC-9986-FF71EA6001B8}"/>
            </c:ext>
          </c:extLst>
        </c:ser>
        <c:ser>
          <c:idx val="1"/>
          <c:order val="1"/>
          <c:tx>
            <c:v>Magic Number</c:v>
          </c:tx>
          <c:spPr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Dashboard'!$C$20:$BJ$20</c:f>
              <c:numCache>
                <c:formatCode>0.0\x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3.403983692994363</c:v>
                </c:pt>
                <c:pt idx="4">
                  <c:v>3.5697708014038274</c:v>
                </c:pt>
                <c:pt idx="5">
                  <c:v>3.7635027798225686</c:v>
                </c:pt>
                <c:pt idx="6">
                  <c:v>4.01188563560296</c:v>
                </c:pt>
                <c:pt idx="7">
                  <c:v>4.1448532149961457</c:v>
                </c:pt>
                <c:pt idx="8">
                  <c:v>4.3447302407054034</c:v>
                </c:pt>
                <c:pt idx="9">
                  <c:v>4.5860214803174513</c:v>
                </c:pt>
                <c:pt idx="10">
                  <c:v>4.8952969134368916</c:v>
                </c:pt>
                <c:pt idx="11">
                  <c:v>5.2276433001620655</c:v>
                </c:pt>
                <c:pt idx="12">
                  <c:v>5.543982910135318</c:v>
                </c:pt>
                <c:pt idx="13">
                  <c:v>5.3952889284645131</c:v>
                </c:pt>
                <c:pt idx="14">
                  <c:v>5.2115728207895016</c:v>
                </c:pt>
                <c:pt idx="15">
                  <c:v>5.08505195100485</c:v>
                </c:pt>
                <c:pt idx="16">
                  <c:v>5.3169596036510374</c:v>
                </c:pt>
                <c:pt idx="17">
                  <c:v>5.6356799107502944</c:v>
                </c:pt>
                <c:pt idx="18">
                  <c:v>5.9528095417490201</c:v>
                </c:pt>
                <c:pt idx="19">
                  <c:v>6.39767725277345</c:v>
                </c:pt>
                <c:pt idx="20">
                  <c:v>6.8475704568694713</c:v>
                </c:pt>
                <c:pt idx="21">
                  <c:v>7.3272369401119519</c:v>
                </c:pt>
                <c:pt idx="22">
                  <c:v>7.7721532754304272</c:v>
                </c:pt>
                <c:pt idx="23">
                  <c:v>8.2366509495884674</c:v>
                </c:pt>
                <c:pt idx="24">
                  <c:v>8.765676364349984</c:v>
                </c:pt>
                <c:pt idx="25">
                  <c:v>8.4640606526988655</c:v>
                </c:pt>
                <c:pt idx="26">
                  <c:v>8.2863857762875703</c:v>
                </c:pt>
                <c:pt idx="27">
                  <c:v>8.1241238230725408</c:v>
                </c:pt>
                <c:pt idx="28">
                  <c:v>8.6509641755735167</c:v>
                </c:pt>
                <c:pt idx="29">
                  <c:v>9.1908645300705665</c:v>
                </c:pt>
                <c:pt idx="30">
                  <c:v>9.804297637556223</c:v>
                </c:pt>
                <c:pt idx="31">
                  <c:v>10.450612198400114</c:v>
                </c:pt>
                <c:pt idx="32">
                  <c:v>11.164021306765989</c:v>
                </c:pt>
                <c:pt idx="33">
                  <c:v>11.892530138666928</c:v>
                </c:pt>
                <c:pt idx="34">
                  <c:v>12.68906275207217</c:v>
                </c:pt>
                <c:pt idx="35">
                  <c:v>13.524207471342017</c:v>
                </c:pt>
                <c:pt idx="36">
                  <c:v>8.9663173615894483</c:v>
                </c:pt>
                <c:pt idx="37">
                  <c:v>6.2003594550285337</c:v>
                </c:pt>
                <c:pt idx="38">
                  <c:v>-2.9312229453946554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96-4ABC-9986-FF71EA600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90747"/>
        <c:axId val="17769309"/>
      </c:lineChart>
      <c:catAx>
        <c:axId val="8990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69309"/>
        <c:crosses val="autoZero"/>
        <c:auto val="1"/>
        <c:lblAlgn val="ctr"/>
        <c:lblOffset val="100"/>
        <c:noMultiLvlLbl val="0"/>
      </c:catAx>
      <c:valAx>
        <c:axId val="177693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Ratio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Rule of 40 Score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Rule of 40 Score</c:v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Dashboard'!$C$21:$BJ$21</c:f>
              <c:numCache>
                <c:formatCode>0.0%;\(0.0%\);\-</c:formatCode>
                <c:ptCount val="60"/>
                <c:pt idx="0">
                  <c:v>-5.8178992854771137</c:v>
                </c:pt>
                <c:pt idx="1">
                  <c:v>-2.5664424670877284</c:v>
                </c:pt>
                <c:pt idx="2">
                  <c:v>-1.2247748738633528</c:v>
                </c:pt>
                <c:pt idx="3">
                  <c:v>-0.5319034236932183</c:v>
                </c:pt>
                <c:pt idx="4">
                  <c:v>-0.11834307491201086</c:v>
                </c:pt>
                <c:pt idx="5">
                  <c:v>0.14527109421782339</c:v>
                </c:pt>
                <c:pt idx="6">
                  <c:v>0.32527791659006022</c:v>
                </c:pt>
                <c:pt idx="7">
                  <c:v>0.45167508316050475</c:v>
                </c:pt>
                <c:pt idx="8">
                  <c:v>0.545451608565094</c:v>
                </c:pt>
                <c:pt idx="9">
                  <c:v>0.61749746862514421</c:v>
                </c:pt>
                <c:pt idx="10">
                  <c:v>0.67357032061993205</c:v>
                </c:pt>
                <c:pt idx="11">
                  <c:v>0.71854352549656952</c:v>
                </c:pt>
                <c:pt idx="12">
                  <c:v>16.014042806238397</c:v>
                </c:pt>
                <c:pt idx="13">
                  <c:v>8.9710655687492817</c:v>
                </c:pt>
                <c:pt idx="14">
                  <c:v>6.5746574286070327</c:v>
                </c:pt>
                <c:pt idx="15">
                  <c:v>5.3745436604477881</c:v>
                </c:pt>
                <c:pt idx="16">
                  <c:v>4.5943710325624867</c:v>
                </c:pt>
                <c:pt idx="17">
                  <c:v>4.096709399875083</c:v>
                </c:pt>
                <c:pt idx="18">
                  <c:v>3.7330984579129076</c:v>
                </c:pt>
                <c:pt idx="19">
                  <c:v>3.5032151520144668</c:v>
                </c:pt>
                <c:pt idx="20">
                  <c:v>3.3138513228269</c:v>
                </c:pt>
                <c:pt idx="21">
                  <c:v>3.151581493912559</c:v>
                </c:pt>
                <c:pt idx="22">
                  <c:v>3.0277072024972158</c:v>
                </c:pt>
                <c:pt idx="23">
                  <c:v>2.9185458293849509</c:v>
                </c:pt>
                <c:pt idx="24">
                  <c:v>2.8079963015435165</c:v>
                </c:pt>
                <c:pt idx="25">
                  <c:v>2.7286499097899068</c:v>
                </c:pt>
                <c:pt idx="26">
                  <c:v>2.6716409695623562</c:v>
                </c:pt>
                <c:pt idx="27">
                  <c:v>2.6185896961019348</c:v>
                </c:pt>
                <c:pt idx="28">
                  <c:v>2.5789103869090964</c:v>
                </c:pt>
                <c:pt idx="29">
                  <c:v>2.5421529643634049</c:v>
                </c:pt>
                <c:pt idx="30">
                  <c:v>2.5114369852104388</c:v>
                </c:pt>
                <c:pt idx="31">
                  <c:v>2.478534083190862</c:v>
                </c:pt>
                <c:pt idx="32">
                  <c:v>2.4512406683269115</c:v>
                </c:pt>
                <c:pt idx="33">
                  <c:v>2.4266890679930926</c:v>
                </c:pt>
                <c:pt idx="34">
                  <c:v>2.4060012335644756</c:v>
                </c:pt>
                <c:pt idx="35">
                  <c:v>2.3889602229893021</c:v>
                </c:pt>
                <c:pt idx="36">
                  <c:v>2.2370642847579276</c:v>
                </c:pt>
                <c:pt idx="37">
                  <c:v>2.0595958381404258</c:v>
                </c:pt>
                <c:pt idx="38">
                  <c:v>1.8979995719053426</c:v>
                </c:pt>
                <c:pt idx="39">
                  <c:v>1.7524876603550765</c:v>
                </c:pt>
                <c:pt idx="40">
                  <c:v>1.6197072578232987</c:v>
                </c:pt>
                <c:pt idx="41">
                  <c:v>1.498669066300419</c:v>
                </c:pt>
                <c:pt idx="42">
                  <c:v>1.38806587699926</c:v>
                </c:pt>
                <c:pt idx="43">
                  <c:v>1.2866157240178391</c:v>
                </c:pt>
                <c:pt idx="44">
                  <c:v>1.193267517235685</c:v>
                </c:pt>
                <c:pt idx="45">
                  <c:v>1.1081444050434803</c:v>
                </c:pt>
                <c:pt idx="46">
                  <c:v>1.030074691712821</c:v>
                </c:pt>
                <c:pt idx="47">
                  <c:v>0.95816831869871832</c:v>
                </c:pt>
                <c:pt idx="48">
                  <c:v>0.96184419713070546</c:v>
                </c:pt>
                <c:pt idx="49">
                  <c:v>0.96531242935180994</c:v>
                </c:pt>
                <c:pt idx="50">
                  <c:v>0.96875118572599161</c:v>
                </c:pt>
                <c:pt idx="51">
                  <c:v>0.97227453918412354</c:v>
                </c:pt>
                <c:pt idx="52">
                  <c:v>0.9757960200146415</c:v>
                </c:pt>
                <c:pt idx="53">
                  <c:v>0.97923677968197764</c:v>
                </c:pt>
                <c:pt idx="54">
                  <c:v>0.98261680860853384</c:v>
                </c:pt>
                <c:pt idx="55">
                  <c:v>0.98616615813095354</c:v>
                </c:pt>
                <c:pt idx="56">
                  <c:v>0.98962253010825785</c:v>
                </c:pt>
                <c:pt idx="57">
                  <c:v>0.99301166203538549</c:v>
                </c:pt>
                <c:pt idx="58">
                  <c:v>0.99589536711425075</c:v>
                </c:pt>
                <c:pt idx="59">
                  <c:v>0.99888209629127367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DE3-A4F3-7663BAE5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97842"/>
        <c:axId val="23859018"/>
      </c:barChart>
      <c:catAx>
        <c:axId val="50597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59018"/>
        <c:crosses val="autoZero"/>
        <c:auto val="1"/>
        <c:lblAlgn val="ctr"/>
        <c:lblOffset val="100"/>
        <c:noMultiLvlLbl val="0"/>
      </c:catAx>
      <c:valAx>
        <c:axId val="23859018"/>
        <c:scaling>
          <c:orientation val="minMax"/>
          <c:max val="1.5"/>
          <c:min val="-1.5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97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581760</xdr:colOff>
      <xdr:row>25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</xdr:row>
      <xdr:rowOff>0</xdr:rowOff>
    </xdr:from>
    <xdr:to>
      <xdr:col>25</xdr:col>
      <xdr:colOff>581760</xdr:colOff>
      <xdr:row>25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581760</xdr:colOff>
      <xdr:row>55</xdr:row>
      <xdr:rowOff>107640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31</xdr:row>
      <xdr:rowOff>0</xdr:rowOff>
    </xdr:from>
    <xdr:to>
      <xdr:col>25</xdr:col>
      <xdr:colOff>581760</xdr:colOff>
      <xdr:row>55</xdr:row>
      <xdr:rowOff>107640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11</xdr:col>
      <xdr:colOff>581760</xdr:colOff>
      <xdr:row>85</xdr:row>
      <xdr:rowOff>107640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61</xdr:row>
      <xdr:rowOff>0</xdr:rowOff>
    </xdr:from>
    <xdr:to>
      <xdr:col>25</xdr:col>
      <xdr:colOff>581760</xdr:colOff>
      <xdr:row>85</xdr:row>
      <xdr:rowOff>107640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91</xdr:row>
      <xdr:rowOff>0</xdr:rowOff>
    </xdr:from>
    <xdr:to>
      <xdr:col>11</xdr:col>
      <xdr:colOff>581760</xdr:colOff>
      <xdr:row>115</xdr:row>
      <xdr:rowOff>107640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0</xdr:colOff>
      <xdr:row>91</xdr:row>
      <xdr:rowOff>0</xdr:rowOff>
    </xdr:from>
    <xdr:to>
      <xdr:col>25</xdr:col>
      <xdr:colOff>581760</xdr:colOff>
      <xdr:row>115</xdr:row>
      <xdr:rowOff>107640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SaaS_Financial_Plan_Enterprise_Quanthaven.xlsx" TargetMode="External"/><Relationship Id="rId3" Type="http://schemas.openxmlformats.org/officeDocument/2006/relationships/hyperlink" Target="SaaS_Financial_Plan_Enterprise_Quanthaven.xlsx" TargetMode="External"/><Relationship Id="rId7" Type="http://schemas.openxmlformats.org/officeDocument/2006/relationships/hyperlink" Target="SaaS_Financial_Plan_Enterprise_Quanthaven.xlsx" TargetMode="External"/><Relationship Id="rId12" Type="http://schemas.openxmlformats.org/officeDocument/2006/relationships/hyperlink" Target="SaaS_Financial_Plan_Enterprise_Quanthaven.xlsx" TargetMode="External"/><Relationship Id="rId2" Type="http://schemas.openxmlformats.org/officeDocument/2006/relationships/hyperlink" Target="SaaS_Financial_Plan_Enterprise_Quanthaven.xlsx" TargetMode="External"/><Relationship Id="rId1" Type="http://schemas.openxmlformats.org/officeDocument/2006/relationships/hyperlink" Target="SaaS_Financial_Plan_Enterprise_Quanthaven.xlsx" TargetMode="External"/><Relationship Id="rId6" Type="http://schemas.openxmlformats.org/officeDocument/2006/relationships/hyperlink" Target="SaaS_Financial_Plan_Enterprise_Quanthaven.xlsx" TargetMode="External"/><Relationship Id="rId11" Type="http://schemas.openxmlformats.org/officeDocument/2006/relationships/hyperlink" Target="SaaS_Financial_Plan_Enterprise_Quanthaven.xlsx" TargetMode="External"/><Relationship Id="rId5" Type="http://schemas.openxmlformats.org/officeDocument/2006/relationships/hyperlink" Target="SaaS_Financial_Plan_Enterprise_Quanthaven.xlsx" TargetMode="External"/><Relationship Id="rId10" Type="http://schemas.openxmlformats.org/officeDocument/2006/relationships/hyperlink" Target="SaaS_Financial_Plan_Enterprise_Quanthaven.xlsx" TargetMode="External"/><Relationship Id="rId4" Type="http://schemas.openxmlformats.org/officeDocument/2006/relationships/hyperlink" Target="SaaS_Financial_Plan_Enterprise_Quanthaven.xlsx" TargetMode="External"/><Relationship Id="rId9" Type="http://schemas.openxmlformats.org/officeDocument/2006/relationships/hyperlink" Target="SaaS_Financial_Plan_Enterprise_Quanthaven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54"/>
  <sheetViews>
    <sheetView showGridLines="0" tabSelected="1" topLeftCell="A3" zoomScale="85" zoomScaleNormal="85" workbookViewId="0">
      <selection activeCell="B24" sqref="B24:C24"/>
    </sheetView>
  </sheetViews>
  <sheetFormatPr defaultColWidth="8.6328125" defaultRowHeight="14.5" x14ac:dyDescent="0.35"/>
  <cols>
    <col min="1" max="1" width="4" customWidth="1"/>
    <col min="2" max="2" width="48" customWidth="1"/>
    <col min="3" max="3" width="30" customWidth="1"/>
    <col min="4" max="7" width="16" customWidth="1"/>
  </cols>
  <sheetData>
    <row r="1" spans="1:7" x14ac:dyDescent="0.35">
      <c r="A1" s="3"/>
      <c r="B1" s="3"/>
      <c r="C1" s="3"/>
      <c r="D1" s="3"/>
      <c r="E1" s="3"/>
      <c r="F1" s="3"/>
      <c r="G1" s="3"/>
    </row>
    <row r="2" spans="1:7" x14ac:dyDescent="0.35">
      <c r="A2" s="3"/>
      <c r="B2" s="3"/>
      <c r="C2" s="3"/>
      <c r="D2" s="3"/>
      <c r="E2" s="3"/>
      <c r="F2" s="3"/>
      <c r="G2" s="3"/>
    </row>
    <row r="3" spans="1:7" x14ac:dyDescent="0.35">
      <c r="A3" s="3"/>
      <c r="B3" s="3"/>
      <c r="C3" s="3"/>
      <c r="D3" s="3"/>
      <c r="E3" s="3"/>
      <c r="F3" s="3"/>
      <c r="G3" s="3"/>
    </row>
    <row r="4" spans="1:7" x14ac:dyDescent="0.35">
      <c r="A4" s="3"/>
      <c r="B4" s="3"/>
      <c r="C4" s="3"/>
      <c r="D4" s="3"/>
      <c r="E4" s="3"/>
      <c r="F4" s="3"/>
      <c r="G4" s="3"/>
    </row>
    <row r="5" spans="1:7" x14ac:dyDescent="0.35">
      <c r="A5" s="3"/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ht="9.75" customHeight="1" x14ac:dyDescent="0.35">
      <c r="A7" s="3"/>
      <c r="B7" s="3"/>
      <c r="C7" s="3"/>
      <c r="D7" s="3"/>
      <c r="E7" s="3"/>
      <c r="F7" s="3"/>
      <c r="G7" s="3"/>
    </row>
    <row r="8" spans="1:7" ht="54.75" customHeight="1" x14ac:dyDescent="0.35">
      <c r="A8" s="3"/>
      <c r="B8" s="47" t="s">
        <v>0</v>
      </c>
      <c r="C8" s="47"/>
      <c r="D8" s="3"/>
      <c r="E8" s="3"/>
      <c r="F8" s="3"/>
      <c r="G8" s="3"/>
    </row>
    <row r="9" spans="1:7" ht="24" customHeight="1" x14ac:dyDescent="0.35">
      <c r="A9" s="3"/>
      <c r="B9" s="48" t="s">
        <v>1</v>
      </c>
      <c r="C9" s="48"/>
      <c r="D9" s="3"/>
      <c r="E9" s="3"/>
      <c r="F9" s="3"/>
      <c r="G9" s="3"/>
    </row>
    <row r="10" spans="1:7" ht="21.75" customHeight="1" x14ac:dyDescent="0.35">
      <c r="A10" s="3"/>
      <c r="B10" s="49" t="s">
        <v>2</v>
      </c>
      <c r="C10" s="49"/>
      <c r="D10" s="3"/>
      <c r="E10" s="3"/>
      <c r="F10" s="3"/>
      <c r="G10" s="3"/>
    </row>
    <row r="11" spans="1:7" x14ac:dyDescent="0.35">
      <c r="A11" s="3"/>
      <c r="B11" s="3"/>
      <c r="C11" s="3"/>
      <c r="D11" s="3"/>
      <c r="E11" s="3"/>
      <c r="F11" s="3"/>
      <c r="G11" s="3"/>
    </row>
    <row r="12" spans="1:7" ht="21.75" customHeight="1" x14ac:dyDescent="0.35">
      <c r="A12" s="3"/>
      <c r="B12" s="49" t="s">
        <v>3</v>
      </c>
      <c r="C12" s="49"/>
      <c r="D12" s="3"/>
      <c r="E12" s="3"/>
      <c r="F12" s="3"/>
      <c r="G12" s="3"/>
    </row>
    <row r="13" spans="1:7" x14ac:dyDescent="0.35">
      <c r="A13" s="3"/>
      <c r="B13" s="3"/>
      <c r="C13" s="3"/>
      <c r="D13" s="3"/>
      <c r="E13" s="3"/>
      <c r="F13" s="3"/>
      <c r="G13" s="3"/>
    </row>
    <row r="14" spans="1:7" ht="21.75" customHeight="1" x14ac:dyDescent="0.35">
      <c r="A14" s="3"/>
      <c r="B14" s="49" t="s">
        <v>4</v>
      </c>
      <c r="C14" s="49"/>
      <c r="D14" s="3"/>
      <c r="E14" s="3"/>
      <c r="F14" s="3"/>
      <c r="G14" s="3"/>
    </row>
    <row r="15" spans="1:7" x14ac:dyDescent="0.35">
      <c r="A15" s="3"/>
      <c r="B15" s="3"/>
      <c r="C15" s="3"/>
      <c r="D15" s="3"/>
      <c r="E15" s="3"/>
      <c r="F15" s="3"/>
      <c r="G15" s="3"/>
    </row>
    <row r="16" spans="1:7" ht="21.75" customHeight="1" x14ac:dyDescent="0.35">
      <c r="A16" s="3"/>
      <c r="B16" s="49" t="s">
        <v>5</v>
      </c>
      <c r="C16" s="49"/>
      <c r="D16" s="3"/>
      <c r="E16" s="3"/>
      <c r="F16" s="3"/>
      <c r="G16" s="3"/>
    </row>
    <row r="17" spans="1:7" x14ac:dyDescent="0.35">
      <c r="A17" s="3"/>
      <c r="B17" s="3"/>
      <c r="C17" s="3"/>
      <c r="D17" s="3"/>
      <c r="E17" s="3"/>
      <c r="F17" s="3"/>
      <c r="G17" s="3"/>
    </row>
    <row r="18" spans="1:7" ht="21.75" customHeight="1" x14ac:dyDescent="0.35">
      <c r="A18" s="3"/>
      <c r="B18" s="49" t="s">
        <v>6</v>
      </c>
      <c r="C18" s="49"/>
      <c r="D18" s="3"/>
      <c r="E18" s="3"/>
      <c r="F18" s="3"/>
      <c r="G18" s="3"/>
    </row>
    <row r="19" spans="1:7" x14ac:dyDescent="0.35">
      <c r="A19" s="3"/>
      <c r="B19" s="3"/>
      <c r="C19" s="3"/>
      <c r="D19" s="3"/>
      <c r="E19" s="3"/>
      <c r="F19" s="3"/>
      <c r="G19" s="3"/>
    </row>
    <row r="20" spans="1:7" ht="21.75" customHeight="1" x14ac:dyDescent="0.35">
      <c r="A20" s="3"/>
      <c r="B20" s="49" t="s">
        <v>7</v>
      </c>
      <c r="C20" s="49"/>
      <c r="D20" s="3"/>
      <c r="E20" s="3"/>
      <c r="F20" s="3"/>
      <c r="G20" s="3"/>
    </row>
    <row r="21" spans="1:7" x14ac:dyDescent="0.35">
      <c r="A21" s="3"/>
      <c r="B21" s="3"/>
      <c r="C21" s="3"/>
      <c r="D21" s="3"/>
      <c r="E21" s="3"/>
      <c r="F21" s="3"/>
      <c r="G21" s="3"/>
    </row>
    <row r="22" spans="1:7" ht="21.75" customHeight="1" x14ac:dyDescent="0.35">
      <c r="A22" s="3"/>
      <c r="B22" s="49" t="s">
        <v>8</v>
      </c>
      <c r="C22" s="49"/>
      <c r="D22" s="3"/>
      <c r="E22" s="3"/>
      <c r="F22" s="3"/>
      <c r="G22" s="3"/>
    </row>
    <row r="23" spans="1:7" x14ac:dyDescent="0.35">
      <c r="A23" s="3"/>
      <c r="B23" s="3"/>
      <c r="C23" s="3"/>
      <c r="D23" s="3"/>
      <c r="E23" s="3"/>
      <c r="F23" s="3"/>
      <c r="G23" s="3"/>
    </row>
    <row r="24" spans="1:7" ht="21.75" customHeight="1" x14ac:dyDescent="0.35">
      <c r="A24" s="3"/>
      <c r="B24" s="49" t="s">
        <v>9</v>
      </c>
      <c r="C24" s="49"/>
      <c r="D24" s="3"/>
      <c r="E24" s="3"/>
      <c r="F24" s="3"/>
      <c r="G24" s="3"/>
    </row>
    <row r="25" spans="1:7" x14ac:dyDescent="0.35">
      <c r="A25" s="3"/>
      <c r="B25" s="3"/>
      <c r="C25" s="3"/>
      <c r="D25" s="3"/>
      <c r="E25" s="3"/>
      <c r="F25" s="3"/>
      <c r="G25" s="3"/>
    </row>
    <row r="26" spans="1:7" ht="21.75" customHeight="1" x14ac:dyDescent="0.35">
      <c r="A26" s="3"/>
      <c r="B26" s="49" t="s">
        <v>10</v>
      </c>
      <c r="C26" s="49"/>
      <c r="D26" s="3"/>
      <c r="E26" s="3"/>
      <c r="F26" s="3"/>
      <c r="G26" s="3"/>
    </row>
    <row r="27" spans="1:7" x14ac:dyDescent="0.35">
      <c r="A27" s="3"/>
      <c r="B27" s="3"/>
      <c r="C27" s="3"/>
      <c r="D27" s="3"/>
      <c r="E27" s="3"/>
      <c r="F27" s="3"/>
      <c r="G27" s="3"/>
    </row>
    <row r="28" spans="1:7" x14ac:dyDescent="0.35">
      <c r="A28" s="3"/>
      <c r="B28" s="3"/>
      <c r="C28" s="3"/>
      <c r="D28" s="3"/>
      <c r="E28" s="3"/>
      <c r="F28" s="3"/>
      <c r="G28" s="3"/>
    </row>
    <row r="29" spans="1:7" x14ac:dyDescent="0.35">
      <c r="A29" s="3"/>
      <c r="B29" s="3"/>
      <c r="C29" s="3"/>
      <c r="D29" s="3"/>
      <c r="E29" s="3"/>
      <c r="F29" s="3"/>
      <c r="G29" s="3"/>
    </row>
    <row r="30" spans="1:7" x14ac:dyDescent="0.35">
      <c r="A30" s="3"/>
      <c r="B30" s="3"/>
      <c r="C30" s="3"/>
      <c r="D30" s="3"/>
      <c r="E30" s="3"/>
      <c r="F30" s="3"/>
      <c r="G30" s="3"/>
    </row>
    <row r="31" spans="1:7" x14ac:dyDescent="0.35">
      <c r="A31" s="3"/>
      <c r="B31" s="50" t="str">
        <f>"Version 1.0   ·   Model Start: "&amp;TEXT(Controls!$B$6,"mmmm yyyy")&amp;"   ·   Forecast Horizon: 36 Months"</f>
        <v>Version 1.0   ·   Model Start: January 2026   ·   Forecast Horizon: 36 Months</v>
      </c>
      <c r="C31" s="50"/>
      <c r="D31" s="3"/>
      <c r="E31" s="3"/>
      <c r="F31" s="3"/>
      <c r="G31" s="3"/>
    </row>
    <row r="32" spans="1:7" x14ac:dyDescent="0.35">
      <c r="A32" s="3"/>
      <c r="B32" s="3"/>
      <c r="C32" s="3"/>
      <c r="D32" s="3"/>
      <c r="E32" s="3"/>
      <c r="F32" s="3"/>
      <c r="G32" s="3"/>
    </row>
    <row r="33" spans="1:7" ht="30" customHeight="1" x14ac:dyDescent="0.35">
      <c r="A33" s="3"/>
      <c r="B33" s="51" t="s">
        <v>11</v>
      </c>
      <c r="C33" s="51"/>
      <c r="D33" s="3"/>
      <c r="E33" s="3"/>
      <c r="F33" s="3"/>
      <c r="G33" s="3"/>
    </row>
    <row r="34" spans="1:7" x14ac:dyDescent="0.35">
      <c r="A34" s="3"/>
      <c r="B34" s="3"/>
      <c r="C34" s="3"/>
      <c r="D34" s="3"/>
      <c r="E34" s="3"/>
      <c r="F34" s="3"/>
      <c r="G34" s="3"/>
    </row>
    <row r="35" spans="1:7" x14ac:dyDescent="0.35">
      <c r="A35" s="3"/>
      <c r="B35" s="3"/>
      <c r="C35" s="3"/>
      <c r="D35" s="3"/>
      <c r="E35" s="3"/>
      <c r="F35" s="3"/>
      <c r="G35" s="3"/>
    </row>
    <row r="36" spans="1:7" x14ac:dyDescent="0.35">
      <c r="A36" s="3"/>
      <c r="B36" s="3"/>
      <c r="C36" s="3"/>
      <c r="D36" s="3"/>
      <c r="E36" s="3"/>
      <c r="F36" s="3"/>
      <c r="G36" s="3"/>
    </row>
    <row r="37" spans="1:7" x14ac:dyDescent="0.35">
      <c r="A37" s="3"/>
      <c r="B37" s="3"/>
      <c r="C37" s="3"/>
      <c r="D37" s="3"/>
      <c r="E37" s="3"/>
      <c r="F37" s="3"/>
      <c r="G37" s="3"/>
    </row>
    <row r="38" spans="1:7" x14ac:dyDescent="0.35">
      <c r="A38" s="3"/>
      <c r="B38" s="3"/>
      <c r="C38" s="3"/>
      <c r="D38" s="3"/>
      <c r="E38" s="3"/>
      <c r="F38" s="3"/>
      <c r="G38" s="3"/>
    </row>
    <row r="39" spans="1:7" x14ac:dyDescent="0.35">
      <c r="A39" s="3"/>
      <c r="B39" s="3"/>
      <c r="C39" s="3"/>
      <c r="D39" s="3"/>
      <c r="E39" s="3"/>
      <c r="F39" s="3"/>
      <c r="G39" s="3"/>
    </row>
    <row r="40" spans="1:7" x14ac:dyDescent="0.35">
      <c r="A40" s="3"/>
      <c r="B40" s="3"/>
      <c r="C40" s="3"/>
      <c r="D40" s="3"/>
      <c r="E40" s="3"/>
      <c r="F40" s="3"/>
      <c r="G40" s="3"/>
    </row>
    <row r="41" spans="1:7" x14ac:dyDescent="0.35">
      <c r="A41" s="3"/>
      <c r="B41" s="3"/>
      <c r="C41" s="3"/>
      <c r="D41" s="3"/>
      <c r="E41" s="3"/>
      <c r="F41" s="3"/>
      <c r="G41" s="3"/>
    </row>
    <row r="42" spans="1:7" x14ac:dyDescent="0.35">
      <c r="A42" s="3"/>
      <c r="B42" s="3"/>
      <c r="C42" s="3"/>
      <c r="D42" s="3"/>
      <c r="E42" s="3"/>
      <c r="F42" s="3"/>
      <c r="G42" s="3"/>
    </row>
    <row r="43" spans="1:7" x14ac:dyDescent="0.35">
      <c r="A43" s="3"/>
      <c r="B43" s="3"/>
      <c r="C43" s="3"/>
      <c r="D43" s="3"/>
      <c r="E43" s="3"/>
      <c r="F43" s="3"/>
      <c r="G43" s="3"/>
    </row>
    <row r="44" spans="1:7" x14ac:dyDescent="0.35">
      <c r="A44" s="3"/>
      <c r="B44" s="3"/>
      <c r="C44" s="3"/>
      <c r="D44" s="3"/>
      <c r="E44" s="3"/>
      <c r="F44" s="3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  <row r="47" spans="1:7" x14ac:dyDescent="0.35">
      <c r="A47" s="3"/>
      <c r="B47" s="3"/>
      <c r="C47" s="3"/>
      <c r="D47" s="3"/>
      <c r="E47" s="3"/>
      <c r="F47" s="3"/>
      <c r="G47" s="3"/>
    </row>
    <row r="48" spans="1:7" x14ac:dyDescent="0.35">
      <c r="A48" s="3"/>
      <c r="B48" s="3"/>
      <c r="C48" s="3"/>
      <c r="D48" s="3"/>
      <c r="E48" s="3"/>
      <c r="F48" s="3"/>
      <c r="G48" s="3"/>
    </row>
    <row r="49" spans="1:7" x14ac:dyDescent="0.35">
      <c r="A49" s="3"/>
      <c r="B49" s="3"/>
      <c r="C49" s="3"/>
      <c r="D49" s="3"/>
      <c r="E49" s="3"/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  <row r="51" spans="1:7" x14ac:dyDescent="0.35">
      <c r="A51" s="3"/>
      <c r="B51" s="3"/>
      <c r="C51" s="3"/>
      <c r="D51" s="3"/>
      <c r="E51" s="3"/>
      <c r="F51" s="3"/>
      <c r="G51" s="3"/>
    </row>
    <row r="52" spans="1:7" x14ac:dyDescent="0.35">
      <c r="A52" s="3"/>
      <c r="B52" s="3"/>
      <c r="C52" s="3"/>
      <c r="D52" s="3"/>
      <c r="E52" s="3"/>
      <c r="F52" s="3"/>
      <c r="G52" s="3"/>
    </row>
    <row r="53" spans="1:7" x14ac:dyDescent="0.35">
      <c r="A53" s="3"/>
      <c r="B53" s="3"/>
      <c r="C53" s="3"/>
      <c r="D53" s="3"/>
      <c r="E53" s="3"/>
      <c r="F53" s="3"/>
      <c r="G53" s="3"/>
    </row>
    <row r="54" spans="1:7" x14ac:dyDescent="0.35">
      <c r="A54" s="3"/>
      <c r="B54" s="3"/>
      <c r="C54" s="3"/>
      <c r="D54" s="3"/>
      <c r="E54" s="3"/>
      <c r="F54" s="3"/>
      <c r="G54" s="3"/>
    </row>
  </sheetData>
  <sheetProtection algorithmName="SHA-512" hashValue="eyfh+zbKm0N6RW+v4tcUmP+dxnRWfXdvi6sN/llOwrvQZOIyDKG/It3syiJ9uWLuaXeqP9HwSqqoCgsA6dVYgA==" saltValue="tRe3K257SGLZtH2JseqEHQ==" spinCount="100000" sheet="1" objects="1" scenarios="1"/>
  <mergeCells count="13">
    <mergeCell ref="B26:C26"/>
    <mergeCell ref="B31:C31"/>
    <mergeCell ref="B33:C33"/>
    <mergeCell ref="B16:C16"/>
    <mergeCell ref="B18:C18"/>
    <mergeCell ref="B20:C20"/>
    <mergeCell ref="B22:C22"/>
    <mergeCell ref="B24:C24"/>
    <mergeCell ref="B8:C8"/>
    <mergeCell ref="B9:C9"/>
    <mergeCell ref="B10:C10"/>
    <mergeCell ref="B12:C12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C26"/>
  <sheetViews>
    <sheetView showGridLines="0" zoomScaleNormal="100" workbookViewId="0">
      <selection activeCell="C8" sqref="C8"/>
    </sheetView>
  </sheetViews>
  <sheetFormatPr defaultColWidth="8.6328125" defaultRowHeight="14.5" x14ac:dyDescent="0.35"/>
  <cols>
    <col min="1" max="1" width="6" customWidth="1"/>
    <col min="2" max="2" width="30" style="46" customWidth="1"/>
    <col min="3" max="3" width="65" customWidth="1"/>
  </cols>
  <sheetData>
    <row r="1" spans="1:3" ht="9.75" customHeight="1" x14ac:dyDescent="0.35">
      <c r="A1" s="52"/>
      <c r="B1" s="52"/>
      <c r="C1" s="52"/>
    </row>
    <row r="2" spans="1:3" ht="33.75" customHeight="1" x14ac:dyDescent="0.35">
      <c r="A2" s="53" t="s">
        <v>12</v>
      </c>
      <c r="B2" s="53"/>
      <c r="C2" s="53"/>
    </row>
    <row r="4" spans="1:3" ht="36" customHeight="1" x14ac:dyDescent="0.35">
      <c r="A4" s="2" t="s">
        <v>13</v>
      </c>
      <c r="B4" s="45" t="s">
        <v>14</v>
      </c>
      <c r="C4" s="4" t="s">
        <v>15</v>
      </c>
    </row>
    <row r="6" spans="1:3" ht="36" customHeight="1" x14ac:dyDescent="0.35">
      <c r="A6" s="2" t="s">
        <v>16</v>
      </c>
      <c r="B6" s="45" t="s">
        <v>17</v>
      </c>
      <c r="C6" s="4" t="s">
        <v>18</v>
      </c>
    </row>
    <row r="8" spans="1:3" ht="36" customHeight="1" x14ac:dyDescent="0.35">
      <c r="A8" s="2" t="s">
        <v>19</v>
      </c>
      <c r="B8" s="45" t="s">
        <v>20</v>
      </c>
      <c r="C8" s="4" t="s">
        <v>21</v>
      </c>
    </row>
    <row r="10" spans="1:3" ht="36" customHeight="1" x14ac:dyDescent="0.35">
      <c r="A10" s="2" t="s">
        <v>22</v>
      </c>
      <c r="B10" s="45" t="s">
        <v>23</v>
      </c>
      <c r="C10" s="4" t="s">
        <v>24</v>
      </c>
    </row>
    <row r="12" spans="1:3" ht="36" customHeight="1" x14ac:dyDescent="0.35">
      <c r="A12" s="2" t="s">
        <v>25</v>
      </c>
      <c r="B12" s="45" t="s">
        <v>26</v>
      </c>
      <c r="C12" s="4" t="s">
        <v>27</v>
      </c>
    </row>
    <row r="14" spans="1:3" ht="36" customHeight="1" x14ac:dyDescent="0.35">
      <c r="A14" s="2" t="s">
        <v>28</v>
      </c>
      <c r="B14" s="45" t="s">
        <v>29</v>
      </c>
      <c r="C14" s="4" t="s">
        <v>30</v>
      </c>
    </row>
    <row r="16" spans="1:3" ht="36" customHeight="1" x14ac:dyDescent="0.35">
      <c r="A16" s="2" t="s">
        <v>31</v>
      </c>
      <c r="B16" s="45" t="s">
        <v>32</v>
      </c>
      <c r="C16" s="4" t="s">
        <v>33</v>
      </c>
    </row>
    <row r="18" spans="1:3" ht="36" customHeight="1" x14ac:dyDescent="0.35">
      <c r="A18" s="2" t="s">
        <v>34</v>
      </c>
      <c r="B18" s="45" t="s">
        <v>35</v>
      </c>
      <c r="C18" s="4" t="s">
        <v>36</v>
      </c>
    </row>
    <row r="20" spans="1:3" ht="36" customHeight="1" x14ac:dyDescent="0.35">
      <c r="A20" s="2" t="s">
        <v>37</v>
      </c>
      <c r="B20" s="45" t="s">
        <v>38</v>
      </c>
      <c r="C20" s="4" t="s">
        <v>39</v>
      </c>
    </row>
    <row r="22" spans="1:3" ht="36" customHeight="1" x14ac:dyDescent="0.35">
      <c r="A22" s="2" t="s">
        <v>40</v>
      </c>
      <c r="B22" s="45" t="s">
        <v>41</v>
      </c>
      <c r="C22" s="4" t="s">
        <v>42</v>
      </c>
    </row>
    <row r="24" spans="1:3" ht="36" customHeight="1" x14ac:dyDescent="0.35">
      <c r="A24" s="2" t="s">
        <v>43</v>
      </c>
      <c r="B24" s="45" t="s">
        <v>44</v>
      </c>
      <c r="C24" s="4" t="s">
        <v>45</v>
      </c>
    </row>
    <row r="26" spans="1:3" ht="36" customHeight="1" x14ac:dyDescent="0.35">
      <c r="A26" s="2" t="s">
        <v>46</v>
      </c>
      <c r="B26" s="45" t="s">
        <v>47</v>
      </c>
      <c r="C26" s="4" t="s">
        <v>48</v>
      </c>
    </row>
  </sheetData>
  <sheetProtection algorithmName="SHA-512" hashValue="XF3Wv47rNOug32LTkZOs2O8OXq0k1qVxZ48jH2Sxayk/DojhmORqGr48JEy6JdNuTiCpWZCWLpQ+YtB3EHuQRA==" saltValue="o5RVi9bp2Yz+1defr73Z9g==" spinCount="100000" sheet="1" objects="1" scenarios="1"/>
  <mergeCells count="2">
    <mergeCell ref="A1:C1"/>
    <mergeCell ref="A2:C2"/>
  </mergeCells>
  <hyperlinks>
    <hyperlink ref="B4" r:id="rId1" location="'Controls'!A1" xr:uid="{00000000-0004-0000-0100-000000000000}"/>
    <hyperlink ref="B6" r:id="rId2" location="'Revenue'!A1" xr:uid="{00000000-0004-0000-0100-000001000000}"/>
    <hyperlink ref="B8" r:id="rId3" location="'Revenue'!A1" xr:uid="{00000000-0004-0000-0100-000002000000}"/>
    <hyperlink ref="B10" r:id="rId4" location="'Revenue'!A1" xr:uid="{00000000-0004-0000-0100-000003000000}"/>
    <hyperlink ref="B12" r:id="rId5" location="'Revenue'!A1" xr:uid="{00000000-0004-0000-0100-000004000000}"/>
    <hyperlink ref="B14" r:id="rId6" location="'Headcount'!A1" xr:uid="{00000000-0004-0000-0100-000005000000}"/>
    <hyperlink ref="B16" r:id="rId7" location="'OpEx'!A1" xr:uid="{00000000-0004-0000-0100-000006000000}"/>
    <hyperlink ref="B18" r:id="rId8" location="'P&amp;L'!A1" xr:uid="{00000000-0004-0000-0100-000007000000}"/>
    <hyperlink ref="B20" r:id="rId9" location="'Balance%20Sheet'!A1" xr:uid="{00000000-0004-0000-0100-000008000000}"/>
    <hyperlink ref="B22" r:id="rId10" location="'Cash%20Flow'!A1" xr:uid="{00000000-0004-0000-0100-000009000000}"/>
    <hyperlink ref="B24" r:id="rId11" location="'KPI%20Dashboard'!A1" xr:uid="{00000000-0004-0000-0100-00000A000000}"/>
    <hyperlink ref="B26" r:id="rId12" location="'Controls'!A1" xr:uid="{00000000-0004-0000-01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C33"/>
  <sheetViews>
    <sheetView showGridLines="0" topLeftCell="A10" zoomScaleNormal="100" workbookViewId="0">
      <selection activeCell="B7" sqref="B7"/>
    </sheetView>
  </sheetViews>
  <sheetFormatPr defaultColWidth="8.6328125" defaultRowHeight="14.5" x14ac:dyDescent="0.35"/>
  <cols>
    <col min="1" max="1" width="42" customWidth="1"/>
    <col min="2" max="2" width="22" customWidth="1"/>
    <col min="3" max="3" width="36" customWidth="1"/>
  </cols>
  <sheetData>
    <row r="1" spans="1:3" ht="33.75" customHeight="1" x14ac:dyDescent="0.35">
      <c r="A1" s="53" t="s">
        <v>49</v>
      </c>
      <c r="B1" s="53"/>
      <c r="C1" s="53"/>
    </row>
    <row r="2" spans="1:3" x14ac:dyDescent="0.35">
      <c r="A2" s="56" t="s">
        <v>50</v>
      </c>
      <c r="B2" s="56"/>
      <c r="C2" s="56"/>
    </row>
    <row r="3" spans="1:3" ht="19.5" customHeight="1" x14ac:dyDescent="0.35">
      <c r="A3" s="5" t="s">
        <v>51</v>
      </c>
      <c r="B3" s="5" t="s">
        <v>52</v>
      </c>
      <c r="C3" s="5" t="s">
        <v>53</v>
      </c>
    </row>
    <row r="5" spans="1:3" ht="19.5" customHeight="1" x14ac:dyDescent="0.35">
      <c r="A5" s="54" t="s">
        <v>54</v>
      </c>
      <c r="B5" s="54"/>
      <c r="C5" s="54"/>
    </row>
    <row r="6" spans="1:3" x14ac:dyDescent="0.35">
      <c r="A6" s="6" t="s">
        <v>55</v>
      </c>
      <c r="B6" s="7">
        <v>46023</v>
      </c>
      <c r="C6" s="8" t="s">
        <v>56</v>
      </c>
    </row>
    <row r="7" spans="1:3" x14ac:dyDescent="0.35">
      <c r="A7" s="6" t="s">
        <v>57</v>
      </c>
      <c r="B7" s="9">
        <v>36</v>
      </c>
      <c r="C7" s="8" t="s">
        <v>58</v>
      </c>
    </row>
    <row r="8" spans="1:3" x14ac:dyDescent="0.35">
      <c r="A8" s="6" t="s">
        <v>59</v>
      </c>
      <c r="B8" s="10">
        <v>0.25</v>
      </c>
      <c r="C8" s="8" t="s">
        <v>60</v>
      </c>
    </row>
    <row r="9" spans="1:3" x14ac:dyDescent="0.35">
      <c r="A9" s="6" t="s">
        <v>61</v>
      </c>
      <c r="B9" s="11" t="s">
        <v>62</v>
      </c>
      <c r="C9" s="8"/>
    </row>
    <row r="10" spans="1:3" ht="19.5" customHeight="1" x14ac:dyDescent="0.35">
      <c r="A10" s="54" t="s">
        <v>63</v>
      </c>
      <c r="B10" s="54"/>
      <c r="C10" s="54"/>
    </row>
    <row r="11" spans="1:3" x14ac:dyDescent="0.35">
      <c r="A11" s="12" t="s">
        <v>64</v>
      </c>
      <c r="C11" s="8" t="s">
        <v>65</v>
      </c>
    </row>
    <row r="12" spans="1:3" x14ac:dyDescent="0.35">
      <c r="A12" s="6" t="s">
        <v>66</v>
      </c>
      <c r="B12" s="11" t="s">
        <v>67</v>
      </c>
      <c r="C12" s="8" t="s">
        <v>68</v>
      </c>
    </row>
    <row r="13" spans="1:3" x14ac:dyDescent="0.35">
      <c r="A13" s="6" t="s">
        <v>69</v>
      </c>
      <c r="B13" s="10">
        <v>1.25</v>
      </c>
      <c r="C13" s="8" t="s">
        <v>70</v>
      </c>
    </row>
    <row r="14" spans="1:3" x14ac:dyDescent="0.35">
      <c r="A14" s="6" t="s">
        <v>71</v>
      </c>
      <c r="B14" s="10">
        <v>0.75</v>
      </c>
      <c r="C14" s="8" t="s">
        <v>70</v>
      </c>
    </row>
    <row r="15" spans="1:3" x14ac:dyDescent="0.35">
      <c r="A15" s="6" t="s">
        <v>72</v>
      </c>
      <c r="B15" s="10">
        <v>0.8</v>
      </c>
      <c r="C15" s="8" t="s">
        <v>73</v>
      </c>
    </row>
    <row r="16" spans="1:3" x14ac:dyDescent="0.35">
      <c r="A16" s="6" t="s">
        <v>74</v>
      </c>
      <c r="B16" s="10">
        <v>1.3</v>
      </c>
      <c r="C16" s="8" t="s">
        <v>75</v>
      </c>
    </row>
    <row r="17" spans="1:3" ht="19.5" customHeight="1" x14ac:dyDescent="0.35">
      <c r="A17" s="54" t="s">
        <v>76</v>
      </c>
      <c r="B17" s="54"/>
      <c r="C17" s="54"/>
    </row>
    <row r="18" spans="1:3" x14ac:dyDescent="0.35">
      <c r="A18" s="12" t="s">
        <v>77</v>
      </c>
      <c r="C18" s="8" t="s">
        <v>78</v>
      </c>
    </row>
    <row r="19" spans="1:3" x14ac:dyDescent="0.35">
      <c r="A19" s="6" t="s">
        <v>79</v>
      </c>
      <c r="B19" s="13">
        <v>1000000</v>
      </c>
      <c r="C19" s="8" t="s">
        <v>80</v>
      </c>
    </row>
    <row r="20" spans="1:3" x14ac:dyDescent="0.35">
      <c r="A20" s="6" t="s">
        <v>81</v>
      </c>
      <c r="B20" s="13">
        <v>0</v>
      </c>
      <c r="C20" s="8" t="s">
        <v>82</v>
      </c>
    </row>
    <row r="21" spans="1:3" x14ac:dyDescent="0.35">
      <c r="A21" s="6" t="s">
        <v>83</v>
      </c>
      <c r="B21" s="10">
        <v>0.08</v>
      </c>
      <c r="C21" s="8" t="s">
        <v>84</v>
      </c>
    </row>
    <row r="22" spans="1:3" ht="19.5" customHeight="1" x14ac:dyDescent="0.35">
      <c r="A22" s="54" t="s">
        <v>85</v>
      </c>
      <c r="B22" s="54"/>
      <c r="C22" s="54"/>
    </row>
    <row r="23" spans="1:3" x14ac:dyDescent="0.35">
      <c r="A23" s="12" t="s">
        <v>86</v>
      </c>
      <c r="C23" s="8" t="s">
        <v>87</v>
      </c>
    </row>
    <row r="24" spans="1:3" x14ac:dyDescent="0.35">
      <c r="A24" s="6" t="s">
        <v>88</v>
      </c>
      <c r="B24" s="10">
        <v>7.6499999999999999E-2</v>
      </c>
      <c r="C24" s="8" t="s">
        <v>89</v>
      </c>
    </row>
    <row r="25" spans="1:3" x14ac:dyDescent="0.35">
      <c r="A25" s="6" t="s">
        <v>90</v>
      </c>
      <c r="B25" s="10">
        <v>0.18</v>
      </c>
      <c r="C25" s="8" t="s">
        <v>91</v>
      </c>
    </row>
    <row r="26" spans="1:3" x14ac:dyDescent="0.35">
      <c r="A26" s="6" t="s">
        <v>92</v>
      </c>
      <c r="B26" s="9">
        <v>3</v>
      </c>
      <c r="C26" s="8" t="s">
        <v>93</v>
      </c>
    </row>
    <row r="29" spans="1:3" ht="19.5" customHeight="1" x14ac:dyDescent="0.35">
      <c r="A29" s="55" t="s">
        <v>94</v>
      </c>
      <c r="B29" s="55"/>
      <c r="C29" s="55"/>
    </row>
    <row r="30" spans="1:3" x14ac:dyDescent="0.35">
      <c r="A30" s="14" t="s">
        <v>95</v>
      </c>
      <c r="B30" s="15" t="s">
        <v>96</v>
      </c>
    </row>
    <row r="31" spans="1:3" x14ac:dyDescent="0.35">
      <c r="A31" s="16" t="s">
        <v>95</v>
      </c>
      <c r="B31" s="15" t="s">
        <v>97</v>
      </c>
    </row>
    <row r="32" spans="1:3" x14ac:dyDescent="0.35">
      <c r="A32" s="17" t="s">
        <v>95</v>
      </c>
      <c r="B32" s="15" t="s">
        <v>98</v>
      </c>
    </row>
    <row r="33" spans="1:2" x14ac:dyDescent="0.35">
      <c r="A33" s="18" t="s">
        <v>95</v>
      </c>
      <c r="B33" s="15" t="s">
        <v>99</v>
      </c>
    </row>
  </sheetData>
  <mergeCells count="7">
    <mergeCell ref="A22:C22"/>
    <mergeCell ref="A29:C29"/>
    <mergeCell ref="A1:C1"/>
    <mergeCell ref="A2:C2"/>
    <mergeCell ref="A5:C5"/>
    <mergeCell ref="A10:C10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BP10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6" customWidth="1"/>
    <col min="2" max="2" width="12" customWidth="1"/>
    <col min="3" max="62" width="9" customWidth="1"/>
    <col min="63" max="68" width="12" customWidth="1"/>
  </cols>
  <sheetData>
    <row r="1" spans="1:68" ht="27.75" customHeight="1" x14ac:dyDescent="0.35">
      <c r="A1" s="57" t="s">
        <v>100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5" spans="1:68" ht="18" customHeight="1" x14ac:dyDescent="0.35">
      <c r="A5" s="58" t="s">
        <v>103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x14ac:dyDescent="0.35">
      <c r="A6" s="6" t="s">
        <v>104</v>
      </c>
      <c r="B6" s="20" t="s">
        <v>105</v>
      </c>
      <c r="C6" s="21">
        <v>49</v>
      </c>
      <c r="D6" s="22" t="s">
        <v>106</v>
      </c>
    </row>
    <row r="7" spans="1:68" x14ac:dyDescent="0.35">
      <c r="A7" s="6" t="s">
        <v>107</v>
      </c>
      <c r="B7" s="20" t="s">
        <v>105</v>
      </c>
      <c r="C7" s="21">
        <v>149</v>
      </c>
    </row>
    <row r="8" spans="1:68" x14ac:dyDescent="0.35">
      <c r="A8" s="6" t="s">
        <v>108</v>
      </c>
      <c r="B8" s="20" t="s">
        <v>105</v>
      </c>
      <c r="C8" s="21">
        <v>499</v>
      </c>
    </row>
    <row r="9" spans="1:68" x14ac:dyDescent="0.35">
      <c r="A9" s="15" t="s">
        <v>109</v>
      </c>
      <c r="B9" s="20" t="s">
        <v>110</v>
      </c>
      <c r="C9" s="10">
        <v>0.2</v>
      </c>
    </row>
    <row r="10" spans="1:68" x14ac:dyDescent="0.35">
      <c r="A10" s="15" t="s">
        <v>111</v>
      </c>
      <c r="B10" s="20" t="s">
        <v>110</v>
      </c>
      <c r="C10" s="10">
        <v>0.35</v>
      </c>
    </row>
    <row r="11" spans="1:68" x14ac:dyDescent="0.35">
      <c r="A11" s="15" t="s">
        <v>112</v>
      </c>
      <c r="B11" s="20" t="s">
        <v>110</v>
      </c>
      <c r="C11" s="10">
        <v>0.6</v>
      </c>
    </row>
    <row r="13" spans="1:68" ht="18" customHeight="1" x14ac:dyDescent="0.35">
      <c r="A13" s="58" t="s">
        <v>113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</row>
    <row r="14" spans="1:68" ht="18" customHeight="1" x14ac:dyDescent="0.35">
      <c r="A14" s="54" t="s">
        <v>114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</row>
    <row r="15" spans="1:68" x14ac:dyDescent="0.35">
      <c r="A15" s="15" t="s">
        <v>115</v>
      </c>
      <c r="B15" s="20" t="s">
        <v>116</v>
      </c>
      <c r="C15" s="9">
        <v>5000</v>
      </c>
    </row>
    <row r="16" spans="1:68" x14ac:dyDescent="0.35">
      <c r="A16" s="15" t="s">
        <v>117</v>
      </c>
      <c r="B16" s="20" t="s">
        <v>110</v>
      </c>
      <c r="C16" s="10">
        <v>0.05</v>
      </c>
    </row>
    <row r="17" spans="1:68" x14ac:dyDescent="0.35">
      <c r="A17" s="15" t="s">
        <v>118</v>
      </c>
      <c r="B17" s="20" t="s">
        <v>116</v>
      </c>
      <c r="C17" s="23">
        <f>C15</f>
        <v>5000</v>
      </c>
      <c r="D17" s="23">
        <f>IF(COLUMN()-2&lt;=Controls!$B$7,C17*(1+$C$16),0)</f>
        <v>5250</v>
      </c>
      <c r="E17" s="23">
        <f>IF(COLUMN()-2&lt;=Controls!$B$7,D17*(1+$C$16),0)</f>
        <v>5512.5</v>
      </c>
      <c r="F17" s="23">
        <f>IF(COLUMN()-2&lt;=Controls!$B$7,E17*(1+$C$16),0)</f>
        <v>5788.125</v>
      </c>
      <c r="G17" s="23">
        <f>IF(COLUMN()-2&lt;=Controls!$B$7,F17*(1+$C$16),0)</f>
        <v>6077.53125</v>
      </c>
      <c r="H17" s="23">
        <f>IF(COLUMN()-2&lt;=Controls!$B$7,G17*(1+$C$16),0)</f>
        <v>6381.4078125000005</v>
      </c>
      <c r="I17" s="23">
        <f>IF(COLUMN()-2&lt;=Controls!$B$7,H17*(1+$C$16),0)</f>
        <v>6700.4782031250006</v>
      </c>
      <c r="J17" s="23">
        <f>IF(COLUMN()-2&lt;=Controls!$B$7,I17*(1+$C$16),0)</f>
        <v>7035.5021132812508</v>
      </c>
      <c r="K17" s="23">
        <f>IF(COLUMN()-2&lt;=Controls!$B$7,J17*(1+$C$16),0)</f>
        <v>7387.2772189453135</v>
      </c>
      <c r="L17" s="23">
        <f>IF(COLUMN()-2&lt;=Controls!$B$7,K17*(1+$C$16),0)</f>
        <v>7756.6410798925799</v>
      </c>
      <c r="M17" s="23">
        <f>IF(COLUMN()-2&lt;=Controls!$B$7,L17*(1+$C$16),0)</f>
        <v>8144.4731338872089</v>
      </c>
      <c r="N17" s="23">
        <f>IF(COLUMN()-2&lt;=Controls!$B$7,M17*(1+$C$16),0)</f>
        <v>8551.6967905815691</v>
      </c>
      <c r="O17" s="23">
        <f>IF(COLUMN()-2&lt;=Controls!$B$7,N17*(1+$C$16),0)</f>
        <v>8979.2816301106486</v>
      </c>
      <c r="P17" s="23">
        <f>IF(COLUMN()-2&lt;=Controls!$B$7,O17*(1+$C$16),0)</f>
        <v>9428.2457116161822</v>
      </c>
      <c r="Q17" s="23">
        <f>IF(COLUMN()-2&lt;=Controls!$B$7,P17*(1+$C$16),0)</f>
        <v>9899.6579971969913</v>
      </c>
      <c r="R17" s="23">
        <f>IF(COLUMN()-2&lt;=Controls!$B$7,Q17*(1+$C$16),0)</f>
        <v>10394.640897056841</v>
      </c>
      <c r="S17" s="23">
        <f>IF(COLUMN()-2&lt;=Controls!$B$7,R17*(1+$C$16),0)</f>
        <v>10914.372941909684</v>
      </c>
      <c r="T17" s="23">
        <f>IF(COLUMN()-2&lt;=Controls!$B$7,S17*(1+$C$16),0)</f>
        <v>11460.091589005167</v>
      </c>
      <c r="U17" s="23">
        <f>IF(COLUMN()-2&lt;=Controls!$B$7,T17*(1+$C$16),0)</f>
        <v>12033.096168455426</v>
      </c>
      <c r="V17" s="23">
        <f>IF(COLUMN()-2&lt;=Controls!$B$7,U17*(1+$C$16),0)</f>
        <v>12634.750976878198</v>
      </c>
      <c r="W17" s="23">
        <f>IF(COLUMN()-2&lt;=Controls!$B$7,V17*(1+$C$16),0)</f>
        <v>13266.488525722109</v>
      </c>
      <c r="X17" s="23">
        <f>IF(COLUMN()-2&lt;=Controls!$B$7,W17*(1+$C$16),0)</f>
        <v>13929.812952008215</v>
      </c>
      <c r="Y17" s="23">
        <f>IF(COLUMN()-2&lt;=Controls!$B$7,X17*(1+$C$16),0)</f>
        <v>14626.303599608626</v>
      </c>
      <c r="Z17" s="23">
        <f>IF(COLUMN()-2&lt;=Controls!$B$7,Y17*(1+$C$16),0)</f>
        <v>15357.618779589058</v>
      </c>
      <c r="AA17" s="23">
        <f>IF(COLUMN()-2&lt;=Controls!$B$7,Z17*(1+$C$16),0)</f>
        <v>16125.499718568512</v>
      </c>
      <c r="AB17" s="23">
        <f>IF(COLUMN()-2&lt;=Controls!$B$7,AA17*(1+$C$16),0)</f>
        <v>16931.774704496936</v>
      </c>
      <c r="AC17" s="23">
        <f>IF(COLUMN()-2&lt;=Controls!$B$7,AB17*(1+$C$16),0)</f>
        <v>17778.363439721783</v>
      </c>
      <c r="AD17" s="23">
        <f>IF(COLUMN()-2&lt;=Controls!$B$7,AC17*(1+$C$16),0)</f>
        <v>18667.281611707873</v>
      </c>
      <c r="AE17" s="23">
        <f>IF(COLUMN()-2&lt;=Controls!$B$7,AD17*(1+$C$16),0)</f>
        <v>19600.645692293267</v>
      </c>
      <c r="AF17" s="23">
        <f>IF(COLUMN()-2&lt;=Controls!$B$7,AE17*(1+$C$16),0)</f>
        <v>20580.677976907929</v>
      </c>
      <c r="AG17" s="23">
        <f>IF(COLUMN()-2&lt;=Controls!$B$7,AF17*(1+$C$16),0)</f>
        <v>21609.711875753328</v>
      </c>
      <c r="AH17" s="23">
        <f>IF(COLUMN()-2&lt;=Controls!$B$7,AG17*(1+$C$16),0)</f>
        <v>22690.197469540995</v>
      </c>
      <c r="AI17" s="23">
        <f>IF(COLUMN()-2&lt;=Controls!$B$7,AH17*(1+$C$16),0)</f>
        <v>23824.707343018046</v>
      </c>
      <c r="AJ17" s="23">
        <f>IF(COLUMN()-2&lt;=Controls!$B$7,AI17*(1+$C$16),0)</f>
        <v>25015.942710168951</v>
      </c>
      <c r="AK17" s="23">
        <f>IF(COLUMN()-2&lt;=Controls!$B$7,AJ17*(1+$C$16),0)</f>
        <v>26266.739845677399</v>
      </c>
      <c r="AL17" s="23">
        <f>IF(COLUMN()-2&lt;=Controls!$B$7,AK17*(1+$C$16),0)</f>
        <v>27580.076837961271</v>
      </c>
      <c r="AM17" s="23">
        <f>IF(COLUMN()-2&lt;=Controls!$B$7,AL17*(1+$C$16),0)</f>
        <v>0</v>
      </c>
      <c r="AN17" s="23">
        <f>IF(COLUMN()-2&lt;=Controls!$B$7,AM17*(1+$C$16),0)</f>
        <v>0</v>
      </c>
      <c r="AO17" s="23">
        <f>IF(COLUMN()-2&lt;=Controls!$B$7,AN17*(1+$C$16),0)</f>
        <v>0</v>
      </c>
      <c r="AP17" s="23">
        <f>IF(COLUMN()-2&lt;=Controls!$B$7,AO17*(1+$C$16),0)</f>
        <v>0</v>
      </c>
      <c r="AQ17" s="23">
        <f>IF(COLUMN()-2&lt;=Controls!$B$7,AP17*(1+$C$16),0)</f>
        <v>0</v>
      </c>
      <c r="AR17" s="23">
        <f>IF(COLUMN()-2&lt;=Controls!$B$7,AQ17*(1+$C$16),0)</f>
        <v>0</v>
      </c>
      <c r="AS17" s="23">
        <f>IF(COLUMN()-2&lt;=Controls!$B$7,AR17*(1+$C$16),0)</f>
        <v>0</v>
      </c>
      <c r="AT17" s="23">
        <f>IF(COLUMN()-2&lt;=Controls!$B$7,AS17*(1+$C$16),0)</f>
        <v>0</v>
      </c>
      <c r="AU17" s="23">
        <f>IF(COLUMN()-2&lt;=Controls!$B$7,AT17*(1+$C$16),0)</f>
        <v>0</v>
      </c>
      <c r="AV17" s="23">
        <f>IF(COLUMN()-2&lt;=Controls!$B$7,AU17*(1+$C$16),0)</f>
        <v>0</v>
      </c>
      <c r="AW17" s="23">
        <f>IF(COLUMN()-2&lt;=Controls!$B$7,AV17*(1+$C$16),0)</f>
        <v>0</v>
      </c>
      <c r="AX17" s="23">
        <f>IF(COLUMN()-2&lt;=Controls!$B$7,AW17*(1+$C$16),0)</f>
        <v>0</v>
      </c>
      <c r="AY17" s="23">
        <f>IF(COLUMN()-2&lt;=Controls!$B$7,AX17*(1+$C$16),0)</f>
        <v>0</v>
      </c>
      <c r="AZ17" s="23">
        <f>IF(COLUMN()-2&lt;=Controls!$B$7,AY17*(1+$C$16),0)</f>
        <v>0</v>
      </c>
      <c r="BA17" s="23">
        <f>IF(COLUMN()-2&lt;=Controls!$B$7,AZ17*(1+$C$16),0)</f>
        <v>0</v>
      </c>
      <c r="BB17" s="23">
        <f>IF(COLUMN()-2&lt;=Controls!$B$7,BA17*(1+$C$16),0)</f>
        <v>0</v>
      </c>
      <c r="BC17" s="23">
        <f>IF(COLUMN()-2&lt;=Controls!$B$7,BB17*(1+$C$16),0)</f>
        <v>0</v>
      </c>
      <c r="BD17" s="23">
        <f>IF(COLUMN()-2&lt;=Controls!$B$7,BC17*(1+$C$16),0)</f>
        <v>0</v>
      </c>
      <c r="BE17" s="23">
        <f>IF(COLUMN()-2&lt;=Controls!$B$7,BD17*(1+$C$16),0)</f>
        <v>0</v>
      </c>
      <c r="BF17" s="23">
        <f>IF(COLUMN()-2&lt;=Controls!$B$7,BE17*(1+$C$16),0)</f>
        <v>0</v>
      </c>
      <c r="BG17" s="23">
        <f>IF(COLUMN()-2&lt;=Controls!$B$7,BF17*(1+$C$16),0)</f>
        <v>0</v>
      </c>
      <c r="BH17" s="23">
        <f>IF(COLUMN()-2&lt;=Controls!$B$7,BG17*(1+$C$16),0)</f>
        <v>0</v>
      </c>
      <c r="BI17" s="23">
        <f>IF(COLUMN()-2&lt;=Controls!$B$7,BH17*(1+$C$16),0)</f>
        <v>0</v>
      </c>
      <c r="BJ17" s="23">
        <f>IF(COLUMN()-2&lt;=Controls!$B$7,BI17*(1+$C$16),0)</f>
        <v>0</v>
      </c>
      <c r="BK17" s="23">
        <f>SUMPRODUCT((YEAR(EDATE(Controls!$B$6,COLUMN($C$1:$BJ$1)-COLUMN($C$1)))=YEAR(Controls!$B$6)+0)*(COLUMN($C$1:$BJ$1)-COLUMN($C$1)&lt;Controls!$B$7)*$C$17:$BJ$17)</f>
        <v>79585.632602212921</v>
      </c>
      <c r="BL17" s="23">
        <f>SUMPRODUCT((YEAR(EDATE(Controls!$B$6,COLUMN($C$1:$BJ$1)-COLUMN($C$1)))=YEAR(Controls!$B$6)+1)*(COLUMN($C$1:$BJ$1)-COLUMN($C$1)&lt;Controls!$B$7)*$C$17:$BJ$17)</f>
        <v>142924.36176915717</v>
      </c>
      <c r="BM17" s="23">
        <f>SUMPRODUCT((YEAR(EDATE(Controls!$B$6,COLUMN($C$1:$BJ$1)-COLUMN($C$1)))=YEAR(Controls!$B$6)+2)*(COLUMN($C$1:$BJ$1)-COLUMN($C$1)&lt;Controls!$B$7)*$C$17:$BJ$17)</f>
        <v>256671.61922581628</v>
      </c>
      <c r="BN17" s="23">
        <f>SUMPRODUCT((YEAR(EDATE(Controls!$B$6,COLUMN($C$1:$BJ$1)-COLUMN($C$1)))=YEAR(Controls!$B$6)+3)*(COLUMN($C$1:$BJ$1)-COLUMN($C$1)&lt;Controls!$B$7)*$C$17:$BJ$17)</f>
        <v>0</v>
      </c>
      <c r="BO17" s="23">
        <f>SUMPRODUCT((YEAR(EDATE(Controls!$B$6,COLUMN($C$1:$BJ$1)-COLUMN($C$1)))=YEAR(Controls!$B$6)+4)*(COLUMN($C$1:$BJ$1)-COLUMN($C$1)&lt;Controls!$B$7)*$C$17:$BJ$17)</f>
        <v>0</v>
      </c>
      <c r="BP17" s="23">
        <f>SUMPRODUCT((YEAR(EDATE(Controls!$B$6,COLUMN($C$1:$BJ$1)-COLUMN($C$1)))=YEAR(Controls!$B$6)+5)*(COLUMN($C$1:$BJ$1)-COLUMN($C$1)&lt;Controls!$B$7)*$C$17:$BJ$17)</f>
        <v>0</v>
      </c>
    </row>
    <row r="18" spans="1:68" x14ac:dyDescent="0.35">
      <c r="A18" s="15" t="s">
        <v>119</v>
      </c>
      <c r="B18" s="20" t="s">
        <v>110</v>
      </c>
      <c r="C18" s="10">
        <v>0.03</v>
      </c>
    </row>
    <row r="19" spans="1:68" x14ac:dyDescent="0.35">
      <c r="A19" s="15" t="s">
        <v>120</v>
      </c>
      <c r="B19" s="20" t="s">
        <v>110</v>
      </c>
      <c r="C19" s="10">
        <v>0.25</v>
      </c>
    </row>
    <row r="20" spans="1:68" x14ac:dyDescent="0.35">
      <c r="A20" s="6" t="s">
        <v>121</v>
      </c>
      <c r="B20" s="20" t="s">
        <v>116</v>
      </c>
      <c r="C20" s="23">
        <f t="shared" ref="C20:AH20" si="0">ROUND(C17*$C$18*$C$19,0)</f>
        <v>38</v>
      </c>
      <c r="D20" s="23">
        <f t="shared" si="0"/>
        <v>39</v>
      </c>
      <c r="E20" s="23">
        <f t="shared" si="0"/>
        <v>41</v>
      </c>
      <c r="F20" s="23">
        <f t="shared" si="0"/>
        <v>43</v>
      </c>
      <c r="G20" s="23">
        <f t="shared" si="0"/>
        <v>46</v>
      </c>
      <c r="H20" s="23">
        <f t="shared" si="0"/>
        <v>48</v>
      </c>
      <c r="I20" s="23">
        <f t="shared" si="0"/>
        <v>50</v>
      </c>
      <c r="J20" s="23">
        <f t="shared" si="0"/>
        <v>53</v>
      </c>
      <c r="K20" s="23">
        <f t="shared" si="0"/>
        <v>55</v>
      </c>
      <c r="L20" s="23">
        <f t="shared" si="0"/>
        <v>58</v>
      </c>
      <c r="M20" s="23">
        <f t="shared" si="0"/>
        <v>61</v>
      </c>
      <c r="N20" s="23">
        <f t="shared" si="0"/>
        <v>64</v>
      </c>
      <c r="O20" s="23">
        <f t="shared" si="0"/>
        <v>67</v>
      </c>
      <c r="P20" s="23">
        <f t="shared" si="0"/>
        <v>71</v>
      </c>
      <c r="Q20" s="23">
        <f t="shared" si="0"/>
        <v>74</v>
      </c>
      <c r="R20" s="23">
        <f t="shared" si="0"/>
        <v>78</v>
      </c>
      <c r="S20" s="23">
        <f t="shared" si="0"/>
        <v>82</v>
      </c>
      <c r="T20" s="23">
        <f t="shared" si="0"/>
        <v>86</v>
      </c>
      <c r="U20" s="23">
        <f t="shared" si="0"/>
        <v>90</v>
      </c>
      <c r="V20" s="23">
        <f t="shared" si="0"/>
        <v>95</v>
      </c>
      <c r="W20" s="23">
        <f t="shared" si="0"/>
        <v>99</v>
      </c>
      <c r="X20" s="23">
        <f t="shared" si="0"/>
        <v>104</v>
      </c>
      <c r="Y20" s="23">
        <f t="shared" si="0"/>
        <v>110</v>
      </c>
      <c r="Z20" s="23">
        <f t="shared" si="0"/>
        <v>115</v>
      </c>
      <c r="AA20" s="23">
        <f t="shared" si="0"/>
        <v>121</v>
      </c>
      <c r="AB20" s="23">
        <f t="shared" si="0"/>
        <v>127</v>
      </c>
      <c r="AC20" s="23">
        <f t="shared" si="0"/>
        <v>133</v>
      </c>
      <c r="AD20" s="23">
        <f t="shared" si="0"/>
        <v>140</v>
      </c>
      <c r="AE20" s="23">
        <f t="shared" si="0"/>
        <v>147</v>
      </c>
      <c r="AF20" s="23">
        <f t="shared" si="0"/>
        <v>154</v>
      </c>
      <c r="AG20" s="23">
        <f t="shared" si="0"/>
        <v>162</v>
      </c>
      <c r="AH20" s="23">
        <f t="shared" si="0"/>
        <v>170</v>
      </c>
      <c r="AI20" s="23">
        <f t="shared" ref="AI20:BJ20" si="1">ROUND(AI17*$C$18*$C$19,0)</f>
        <v>179</v>
      </c>
      <c r="AJ20" s="23">
        <f t="shared" si="1"/>
        <v>188</v>
      </c>
      <c r="AK20" s="23">
        <f t="shared" si="1"/>
        <v>197</v>
      </c>
      <c r="AL20" s="23">
        <f t="shared" si="1"/>
        <v>207</v>
      </c>
      <c r="AM20" s="23">
        <f t="shared" si="1"/>
        <v>0</v>
      </c>
      <c r="AN20" s="23">
        <f t="shared" si="1"/>
        <v>0</v>
      </c>
      <c r="AO20" s="23">
        <f t="shared" si="1"/>
        <v>0</v>
      </c>
      <c r="AP20" s="23">
        <f t="shared" si="1"/>
        <v>0</v>
      </c>
      <c r="AQ20" s="23">
        <f t="shared" si="1"/>
        <v>0</v>
      </c>
      <c r="AR20" s="23">
        <f t="shared" si="1"/>
        <v>0</v>
      </c>
      <c r="AS20" s="23">
        <f t="shared" si="1"/>
        <v>0</v>
      </c>
      <c r="AT20" s="23">
        <f t="shared" si="1"/>
        <v>0</v>
      </c>
      <c r="AU20" s="23">
        <f t="shared" si="1"/>
        <v>0</v>
      </c>
      <c r="AV20" s="23">
        <f t="shared" si="1"/>
        <v>0</v>
      </c>
      <c r="AW20" s="23">
        <f t="shared" si="1"/>
        <v>0</v>
      </c>
      <c r="AX20" s="23">
        <f t="shared" si="1"/>
        <v>0</v>
      </c>
      <c r="AY20" s="23">
        <f t="shared" si="1"/>
        <v>0</v>
      </c>
      <c r="AZ20" s="23">
        <f t="shared" si="1"/>
        <v>0</v>
      </c>
      <c r="BA20" s="23">
        <f t="shared" si="1"/>
        <v>0</v>
      </c>
      <c r="BB20" s="23">
        <f t="shared" si="1"/>
        <v>0</v>
      </c>
      <c r="BC20" s="23">
        <f t="shared" si="1"/>
        <v>0</v>
      </c>
      <c r="BD20" s="23">
        <f t="shared" si="1"/>
        <v>0</v>
      </c>
      <c r="BE20" s="23">
        <f t="shared" si="1"/>
        <v>0</v>
      </c>
      <c r="BF20" s="23">
        <f t="shared" si="1"/>
        <v>0</v>
      </c>
      <c r="BG20" s="23">
        <f t="shared" si="1"/>
        <v>0</v>
      </c>
      <c r="BH20" s="23">
        <f t="shared" si="1"/>
        <v>0</v>
      </c>
      <c r="BI20" s="23">
        <f t="shared" si="1"/>
        <v>0</v>
      </c>
      <c r="BJ20" s="23">
        <f t="shared" si="1"/>
        <v>0</v>
      </c>
      <c r="BK20" s="23">
        <f>SUMPRODUCT((YEAR(EDATE(Controls!$B$6,COLUMN($C$1:$BJ$1)-COLUMN($C$1)))=YEAR(Controls!$B$6)+0)*(COLUMN($C$1:$BJ$1)-COLUMN($C$1)&lt;Controls!$B$7)*$C$20:$BJ$20)</f>
        <v>596</v>
      </c>
      <c r="BL20" s="23">
        <f>SUMPRODUCT((YEAR(EDATE(Controls!$B$6,COLUMN($C$1:$BJ$1)-COLUMN($C$1)))=YEAR(Controls!$B$6)+1)*(COLUMN($C$1:$BJ$1)-COLUMN($C$1)&lt;Controls!$B$7)*$C$20:$BJ$20)</f>
        <v>1071</v>
      </c>
      <c r="BM20" s="23">
        <f>SUMPRODUCT((YEAR(EDATE(Controls!$B$6,COLUMN($C$1:$BJ$1)-COLUMN($C$1)))=YEAR(Controls!$B$6)+2)*(COLUMN($C$1:$BJ$1)-COLUMN($C$1)&lt;Controls!$B$7)*$C$20:$BJ$20)</f>
        <v>1925</v>
      </c>
      <c r="BN20" s="23">
        <f>SUMPRODUCT((YEAR(EDATE(Controls!$B$6,COLUMN($C$1:$BJ$1)-COLUMN($C$1)))=YEAR(Controls!$B$6)+3)*(COLUMN($C$1:$BJ$1)-COLUMN($C$1)&lt;Controls!$B$7)*$C$20:$BJ$20)</f>
        <v>0</v>
      </c>
      <c r="BO20" s="23">
        <f>SUMPRODUCT((YEAR(EDATE(Controls!$B$6,COLUMN($C$1:$BJ$1)-COLUMN($C$1)))=YEAR(Controls!$B$6)+4)*(COLUMN($C$1:$BJ$1)-COLUMN($C$1)&lt;Controls!$B$7)*$C$20:$BJ$20)</f>
        <v>0</v>
      </c>
      <c r="BP20" s="23">
        <f>SUMPRODUCT((YEAR(EDATE(Controls!$B$6,COLUMN($C$1:$BJ$1)-COLUMN($C$1)))=YEAR(Controls!$B$6)+5)*(COLUMN($C$1:$BJ$1)-COLUMN($C$1)&lt;Controls!$B$7)*$C$20:$BJ$20)</f>
        <v>0</v>
      </c>
    </row>
    <row r="22" spans="1:68" ht="18" customHeight="1" x14ac:dyDescent="0.35">
      <c r="A22" s="54" t="s">
        <v>122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</row>
    <row r="23" spans="1:68" x14ac:dyDescent="0.35">
      <c r="A23" s="15" t="s">
        <v>123</v>
      </c>
      <c r="B23" s="20" t="s">
        <v>124</v>
      </c>
      <c r="C23" s="13">
        <v>10000</v>
      </c>
    </row>
    <row r="24" spans="1:68" x14ac:dyDescent="0.35">
      <c r="A24" s="15" t="s">
        <v>125</v>
      </c>
      <c r="B24" s="20" t="s">
        <v>110</v>
      </c>
      <c r="C24" s="10">
        <v>0.08</v>
      </c>
    </row>
    <row r="25" spans="1:68" x14ac:dyDescent="0.35">
      <c r="A25" s="15" t="s">
        <v>126</v>
      </c>
      <c r="B25" s="20" t="s">
        <v>124</v>
      </c>
      <c r="C25" s="24">
        <f>C23</f>
        <v>10000</v>
      </c>
      <c r="D25" s="24">
        <f>IF(COLUMN()-2&lt;=Controls!$B$7,C25*(1+$C$24),0)</f>
        <v>10800</v>
      </c>
      <c r="E25" s="24">
        <f>IF(COLUMN()-2&lt;=Controls!$B$7,D25*(1+$C$24),0)</f>
        <v>11664</v>
      </c>
      <c r="F25" s="24">
        <f>IF(COLUMN()-2&lt;=Controls!$B$7,E25*(1+$C$24),0)</f>
        <v>12597.12</v>
      </c>
      <c r="G25" s="24">
        <f>IF(COLUMN()-2&lt;=Controls!$B$7,F25*(1+$C$24),0)</f>
        <v>13604.889600000002</v>
      </c>
      <c r="H25" s="24">
        <f>IF(COLUMN()-2&lt;=Controls!$B$7,G25*(1+$C$24),0)</f>
        <v>14693.280768000004</v>
      </c>
      <c r="I25" s="24">
        <f>IF(COLUMN()-2&lt;=Controls!$B$7,H25*(1+$C$24),0)</f>
        <v>15868.743229440006</v>
      </c>
      <c r="J25" s="24">
        <f>IF(COLUMN()-2&lt;=Controls!$B$7,I25*(1+$C$24),0)</f>
        <v>17138.242687795209</v>
      </c>
      <c r="K25" s="24">
        <f>IF(COLUMN()-2&lt;=Controls!$B$7,J25*(1+$C$24),0)</f>
        <v>18509.302102818827</v>
      </c>
      <c r="L25" s="24">
        <f>IF(COLUMN()-2&lt;=Controls!$B$7,K25*(1+$C$24),0)</f>
        <v>19990.046271044335</v>
      </c>
      <c r="M25" s="24">
        <f>IF(COLUMN()-2&lt;=Controls!$B$7,L25*(1+$C$24),0)</f>
        <v>21589.249972727885</v>
      </c>
      <c r="N25" s="24">
        <f>IF(COLUMN()-2&lt;=Controls!$B$7,M25*(1+$C$24),0)</f>
        <v>23316.389970546115</v>
      </c>
      <c r="O25" s="24">
        <f>IF(COLUMN()-2&lt;=Controls!$B$7,N25*(1+$C$24),0)</f>
        <v>25181.701168189808</v>
      </c>
      <c r="P25" s="24">
        <f>IF(COLUMN()-2&lt;=Controls!$B$7,O25*(1+$C$24),0)</f>
        <v>27196.237261644994</v>
      </c>
      <c r="Q25" s="24">
        <f>IF(COLUMN()-2&lt;=Controls!$B$7,P25*(1+$C$24),0)</f>
        <v>29371.936242576594</v>
      </c>
      <c r="R25" s="24">
        <f>IF(COLUMN()-2&lt;=Controls!$B$7,Q25*(1+$C$24),0)</f>
        <v>31721.691141982723</v>
      </c>
      <c r="S25" s="24">
        <f>IF(COLUMN()-2&lt;=Controls!$B$7,R25*(1+$C$24),0)</f>
        <v>34259.426433341345</v>
      </c>
      <c r="T25" s="24">
        <f>IF(COLUMN()-2&lt;=Controls!$B$7,S25*(1+$C$24),0)</f>
        <v>37000.180548008655</v>
      </c>
      <c r="U25" s="24">
        <f>IF(COLUMN()-2&lt;=Controls!$B$7,T25*(1+$C$24),0)</f>
        <v>39960.194991849348</v>
      </c>
      <c r="V25" s="24">
        <f>IF(COLUMN()-2&lt;=Controls!$B$7,U25*(1+$C$24),0)</f>
        <v>43157.010591197301</v>
      </c>
      <c r="W25" s="24">
        <f>IF(COLUMN()-2&lt;=Controls!$B$7,V25*(1+$C$24),0)</f>
        <v>46609.571438493091</v>
      </c>
      <c r="X25" s="24">
        <f>IF(COLUMN()-2&lt;=Controls!$B$7,W25*(1+$C$24),0)</f>
        <v>50338.337153572538</v>
      </c>
      <c r="Y25" s="24">
        <f>IF(COLUMN()-2&lt;=Controls!$B$7,X25*(1+$C$24),0)</f>
        <v>54365.404125858346</v>
      </c>
      <c r="Z25" s="24">
        <f>IF(COLUMN()-2&lt;=Controls!$B$7,Y25*(1+$C$24),0)</f>
        <v>58714.636455927015</v>
      </c>
      <c r="AA25" s="24">
        <f>IF(COLUMN()-2&lt;=Controls!$B$7,Z25*(1+$C$24),0)</f>
        <v>63411.807372401177</v>
      </c>
      <c r="AB25" s="24">
        <f>IF(COLUMN()-2&lt;=Controls!$B$7,AA25*(1+$C$24),0)</f>
        <v>68484.751962193273</v>
      </c>
      <c r="AC25" s="24">
        <f>IF(COLUMN()-2&lt;=Controls!$B$7,AB25*(1+$C$24),0)</f>
        <v>73963.53211916874</v>
      </c>
      <c r="AD25" s="24">
        <f>IF(COLUMN()-2&lt;=Controls!$B$7,AC25*(1+$C$24),0)</f>
        <v>79880.614688702248</v>
      </c>
      <c r="AE25" s="24">
        <f>IF(COLUMN()-2&lt;=Controls!$B$7,AD25*(1+$C$24),0)</f>
        <v>86271.063863798438</v>
      </c>
      <c r="AF25" s="24">
        <f>IF(COLUMN()-2&lt;=Controls!$B$7,AE25*(1+$C$24),0)</f>
        <v>93172.748972902322</v>
      </c>
      <c r="AG25" s="24">
        <f>IF(COLUMN()-2&lt;=Controls!$B$7,AF25*(1+$C$24),0)</f>
        <v>100626.56889073452</v>
      </c>
      <c r="AH25" s="24">
        <f>IF(COLUMN()-2&lt;=Controls!$B$7,AG25*(1+$C$24),0)</f>
        <v>108676.69440199329</v>
      </c>
      <c r="AI25" s="24">
        <f>IF(COLUMN()-2&lt;=Controls!$B$7,AH25*(1+$C$24),0)</f>
        <v>117370.82995415275</v>
      </c>
      <c r="AJ25" s="24">
        <f>IF(COLUMN()-2&lt;=Controls!$B$7,AI25*(1+$C$24),0)</f>
        <v>126760.49635048499</v>
      </c>
      <c r="AK25" s="24">
        <f>IF(COLUMN()-2&lt;=Controls!$B$7,AJ25*(1+$C$24),0)</f>
        <v>136901.3360585238</v>
      </c>
      <c r="AL25" s="24">
        <f>IF(COLUMN()-2&lt;=Controls!$B$7,AK25*(1+$C$24),0)</f>
        <v>147853.44294320571</v>
      </c>
      <c r="AM25" s="24">
        <f>IF(COLUMN()-2&lt;=Controls!$B$7,AL25*(1+$C$24),0)</f>
        <v>0</v>
      </c>
      <c r="AN25" s="24">
        <f>IF(COLUMN()-2&lt;=Controls!$B$7,AM25*(1+$C$24),0)</f>
        <v>0</v>
      </c>
      <c r="AO25" s="24">
        <f>IF(COLUMN()-2&lt;=Controls!$B$7,AN25*(1+$C$24),0)</f>
        <v>0</v>
      </c>
      <c r="AP25" s="24">
        <f>IF(COLUMN()-2&lt;=Controls!$B$7,AO25*(1+$C$24),0)</f>
        <v>0</v>
      </c>
      <c r="AQ25" s="24">
        <f>IF(COLUMN()-2&lt;=Controls!$B$7,AP25*(1+$C$24),0)</f>
        <v>0</v>
      </c>
      <c r="AR25" s="24">
        <f>IF(COLUMN()-2&lt;=Controls!$B$7,AQ25*(1+$C$24),0)</f>
        <v>0</v>
      </c>
      <c r="AS25" s="24">
        <f>IF(COLUMN()-2&lt;=Controls!$B$7,AR25*(1+$C$24),0)</f>
        <v>0</v>
      </c>
      <c r="AT25" s="24">
        <f>IF(COLUMN()-2&lt;=Controls!$B$7,AS25*(1+$C$24),0)</f>
        <v>0</v>
      </c>
      <c r="AU25" s="24">
        <f>IF(COLUMN()-2&lt;=Controls!$B$7,AT25*(1+$C$24),0)</f>
        <v>0</v>
      </c>
      <c r="AV25" s="24">
        <f>IF(COLUMN()-2&lt;=Controls!$B$7,AU25*(1+$C$24),0)</f>
        <v>0</v>
      </c>
      <c r="AW25" s="24">
        <f>IF(COLUMN()-2&lt;=Controls!$B$7,AV25*(1+$C$24),0)</f>
        <v>0</v>
      </c>
      <c r="AX25" s="24">
        <f>IF(COLUMN()-2&lt;=Controls!$B$7,AW25*(1+$C$24),0)</f>
        <v>0</v>
      </c>
      <c r="AY25" s="24">
        <f>IF(COLUMN()-2&lt;=Controls!$B$7,AX25*(1+$C$24),0)</f>
        <v>0</v>
      </c>
      <c r="AZ25" s="24">
        <f>IF(COLUMN()-2&lt;=Controls!$B$7,AY25*(1+$C$24),0)</f>
        <v>0</v>
      </c>
      <c r="BA25" s="24">
        <f>IF(COLUMN()-2&lt;=Controls!$B$7,AZ25*(1+$C$24),0)</f>
        <v>0</v>
      </c>
      <c r="BB25" s="24">
        <f>IF(COLUMN()-2&lt;=Controls!$B$7,BA25*(1+$C$24),0)</f>
        <v>0</v>
      </c>
      <c r="BC25" s="24">
        <f>IF(COLUMN()-2&lt;=Controls!$B$7,BB25*(1+$C$24),0)</f>
        <v>0</v>
      </c>
      <c r="BD25" s="24">
        <f>IF(COLUMN()-2&lt;=Controls!$B$7,BC25*(1+$C$24),0)</f>
        <v>0</v>
      </c>
      <c r="BE25" s="24">
        <f>IF(COLUMN()-2&lt;=Controls!$B$7,BD25*(1+$C$24),0)</f>
        <v>0</v>
      </c>
      <c r="BF25" s="24">
        <f>IF(COLUMN()-2&lt;=Controls!$B$7,BE25*(1+$C$24),0)</f>
        <v>0</v>
      </c>
      <c r="BG25" s="24">
        <f>IF(COLUMN()-2&lt;=Controls!$B$7,BF25*(1+$C$24),0)</f>
        <v>0</v>
      </c>
      <c r="BH25" s="24">
        <f>IF(COLUMN()-2&lt;=Controls!$B$7,BG25*(1+$C$24),0)</f>
        <v>0</v>
      </c>
      <c r="BI25" s="24">
        <f>IF(COLUMN()-2&lt;=Controls!$B$7,BH25*(1+$C$24),0)</f>
        <v>0</v>
      </c>
      <c r="BJ25" s="24">
        <f>IF(COLUMN()-2&lt;=Controls!$B$7,BI25*(1+$C$24),0)</f>
        <v>0</v>
      </c>
      <c r="BK25" s="24">
        <f>SUMPRODUCT((YEAR(EDATE(Controls!$B$6,COLUMN($C$1:$BJ$1)-COLUMN($C$1)))=YEAR(Controls!$B$6)+0)*(COLUMN($C$1:$BJ$1)-COLUMN($C$1)&lt;Controls!$B$7)*$C$25:$BJ$25)</f>
        <v>189771.26460237239</v>
      </c>
      <c r="BL25" s="24">
        <f>SUMPRODUCT((YEAR(EDATE(Controls!$B$6,COLUMN($C$1:$BJ$1)-COLUMN($C$1)))=YEAR(Controls!$B$6)+1)*(COLUMN($C$1:$BJ$1)-COLUMN($C$1)&lt;Controls!$B$7)*$C$25:$BJ$25)</f>
        <v>477876.32755264174</v>
      </c>
      <c r="BM25" s="24">
        <f>SUMPRODUCT((YEAR(EDATE(Controls!$B$6,COLUMN($C$1:$BJ$1)-COLUMN($C$1)))=YEAR(Controls!$B$6)+2)*(COLUMN($C$1:$BJ$1)-COLUMN($C$1)&lt;Controls!$B$7)*$C$25:$BJ$25)</f>
        <v>1203373.8875782616</v>
      </c>
      <c r="BN25" s="24">
        <f>SUMPRODUCT((YEAR(EDATE(Controls!$B$6,COLUMN($C$1:$BJ$1)-COLUMN($C$1)))=YEAR(Controls!$B$6)+3)*(COLUMN($C$1:$BJ$1)-COLUMN($C$1)&lt;Controls!$B$7)*$C$25:$BJ$25)</f>
        <v>0</v>
      </c>
      <c r="BO25" s="24">
        <f>SUMPRODUCT((YEAR(EDATE(Controls!$B$6,COLUMN($C$1:$BJ$1)-COLUMN($C$1)))=YEAR(Controls!$B$6)+4)*(COLUMN($C$1:$BJ$1)-COLUMN($C$1)&lt;Controls!$B$7)*$C$25:$BJ$25)</f>
        <v>0</v>
      </c>
      <c r="BP25" s="24">
        <f>SUMPRODUCT((YEAR(EDATE(Controls!$B$6,COLUMN($C$1:$BJ$1)-COLUMN($C$1)))=YEAR(Controls!$B$6)+5)*(COLUMN($C$1:$BJ$1)-COLUMN($C$1)&lt;Controls!$B$7)*$C$25:$BJ$25)</f>
        <v>0</v>
      </c>
    </row>
    <row r="26" spans="1:68" x14ac:dyDescent="0.35">
      <c r="A26" s="15" t="s">
        <v>127</v>
      </c>
      <c r="B26" s="20" t="s">
        <v>124</v>
      </c>
      <c r="C26" s="13">
        <v>450</v>
      </c>
    </row>
    <row r="27" spans="1:68" x14ac:dyDescent="0.35">
      <c r="A27" s="6" t="s">
        <v>128</v>
      </c>
      <c r="B27" s="20" t="s">
        <v>116</v>
      </c>
      <c r="C27" s="23">
        <f t="shared" ref="C27:AH27" si="2">IFERROR(ROUND(C25/$C$26,0),0)</f>
        <v>22</v>
      </c>
      <c r="D27" s="23">
        <f t="shared" si="2"/>
        <v>24</v>
      </c>
      <c r="E27" s="23">
        <f t="shared" si="2"/>
        <v>26</v>
      </c>
      <c r="F27" s="23">
        <f t="shared" si="2"/>
        <v>28</v>
      </c>
      <c r="G27" s="23">
        <f t="shared" si="2"/>
        <v>30</v>
      </c>
      <c r="H27" s="23">
        <f t="shared" si="2"/>
        <v>33</v>
      </c>
      <c r="I27" s="23">
        <f t="shared" si="2"/>
        <v>35</v>
      </c>
      <c r="J27" s="23">
        <f t="shared" si="2"/>
        <v>38</v>
      </c>
      <c r="K27" s="23">
        <f t="shared" si="2"/>
        <v>41</v>
      </c>
      <c r="L27" s="23">
        <f t="shared" si="2"/>
        <v>44</v>
      </c>
      <c r="M27" s="23">
        <f t="shared" si="2"/>
        <v>48</v>
      </c>
      <c r="N27" s="23">
        <f t="shared" si="2"/>
        <v>52</v>
      </c>
      <c r="O27" s="23">
        <f t="shared" si="2"/>
        <v>56</v>
      </c>
      <c r="P27" s="23">
        <f t="shared" si="2"/>
        <v>60</v>
      </c>
      <c r="Q27" s="23">
        <f t="shared" si="2"/>
        <v>65</v>
      </c>
      <c r="R27" s="23">
        <f t="shared" si="2"/>
        <v>70</v>
      </c>
      <c r="S27" s="23">
        <f t="shared" si="2"/>
        <v>76</v>
      </c>
      <c r="T27" s="23">
        <f t="shared" si="2"/>
        <v>82</v>
      </c>
      <c r="U27" s="23">
        <f t="shared" si="2"/>
        <v>89</v>
      </c>
      <c r="V27" s="23">
        <f t="shared" si="2"/>
        <v>96</v>
      </c>
      <c r="W27" s="23">
        <f t="shared" si="2"/>
        <v>104</v>
      </c>
      <c r="X27" s="23">
        <f t="shared" si="2"/>
        <v>112</v>
      </c>
      <c r="Y27" s="23">
        <f t="shared" si="2"/>
        <v>121</v>
      </c>
      <c r="Z27" s="23">
        <f t="shared" si="2"/>
        <v>130</v>
      </c>
      <c r="AA27" s="23">
        <f t="shared" si="2"/>
        <v>141</v>
      </c>
      <c r="AB27" s="23">
        <f t="shared" si="2"/>
        <v>152</v>
      </c>
      <c r="AC27" s="23">
        <f t="shared" si="2"/>
        <v>164</v>
      </c>
      <c r="AD27" s="23">
        <f t="shared" si="2"/>
        <v>178</v>
      </c>
      <c r="AE27" s="23">
        <f t="shared" si="2"/>
        <v>192</v>
      </c>
      <c r="AF27" s="23">
        <f t="shared" si="2"/>
        <v>207</v>
      </c>
      <c r="AG27" s="23">
        <f t="shared" si="2"/>
        <v>224</v>
      </c>
      <c r="AH27" s="23">
        <f t="shared" si="2"/>
        <v>242</v>
      </c>
      <c r="AI27" s="23">
        <f t="shared" ref="AI27:BJ27" si="3">IFERROR(ROUND(AI25/$C$26,0),0)</f>
        <v>261</v>
      </c>
      <c r="AJ27" s="23">
        <f t="shared" si="3"/>
        <v>282</v>
      </c>
      <c r="AK27" s="23">
        <f t="shared" si="3"/>
        <v>304</v>
      </c>
      <c r="AL27" s="23">
        <f t="shared" si="3"/>
        <v>329</v>
      </c>
      <c r="AM27" s="23">
        <f t="shared" si="3"/>
        <v>0</v>
      </c>
      <c r="AN27" s="23">
        <f t="shared" si="3"/>
        <v>0</v>
      </c>
      <c r="AO27" s="23">
        <f t="shared" si="3"/>
        <v>0</v>
      </c>
      <c r="AP27" s="23">
        <f t="shared" si="3"/>
        <v>0</v>
      </c>
      <c r="AQ27" s="23">
        <f t="shared" si="3"/>
        <v>0</v>
      </c>
      <c r="AR27" s="23">
        <f t="shared" si="3"/>
        <v>0</v>
      </c>
      <c r="AS27" s="23">
        <f t="shared" si="3"/>
        <v>0</v>
      </c>
      <c r="AT27" s="23">
        <f t="shared" si="3"/>
        <v>0</v>
      </c>
      <c r="AU27" s="23">
        <f t="shared" si="3"/>
        <v>0</v>
      </c>
      <c r="AV27" s="23">
        <f t="shared" si="3"/>
        <v>0</v>
      </c>
      <c r="AW27" s="23">
        <f t="shared" si="3"/>
        <v>0</v>
      </c>
      <c r="AX27" s="23">
        <f t="shared" si="3"/>
        <v>0</v>
      </c>
      <c r="AY27" s="23">
        <f t="shared" si="3"/>
        <v>0</v>
      </c>
      <c r="AZ27" s="23">
        <f t="shared" si="3"/>
        <v>0</v>
      </c>
      <c r="BA27" s="23">
        <f t="shared" si="3"/>
        <v>0</v>
      </c>
      <c r="BB27" s="23">
        <f t="shared" si="3"/>
        <v>0</v>
      </c>
      <c r="BC27" s="23">
        <f t="shared" si="3"/>
        <v>0</v>
      </c>
      <c r="BD27" s="23">
        <f t="shared" si="3"/>
        <v>0</v>
      </c>
      <c r="BE27" s="23">
        <f t="shared" si="3"/>
        <v>0</v>
      </c>
      <c r="BF27" s="23">
        <f t="shared" si="3"/>
        <v>0</v>
      </c>
      <c r="BG27" s="23">
        <f t="shared" si="3"/>
        <v>0</v>
      </c>
      <c r="BH27" s="23">
        <f t="shared" si="3"/>
        <v>0</v>
      </c>
      <c r="BI27" s="23">
        <f t="shared" si="3"/>
        <v>0</v>
      </c>
      <c r="BJ27" s="23">
        <f t="shared" si="3"/>
        <v>0</v>
      </c>
      <c r="BK27" s="23">
        <f>SUMPRODUCT((YEAR(EDATE(Controls!$B$6,COLUMN($C$1:$BJ$1)-COLUMN($C$1)))=YEAR(Controls!$B$6)+0)*(COLUMN($C$1:$BJ$1)-COLUMN($C$1)&lt;Controls!$B$7)*$C$27:$BJ$27)</f>
        <v>421</v>
      </c>
      <c r="BL27" s="23">
        <f>SUMPRODUCT((YEAR(EDATE(Controls!$B$6,COLUMN($C$1:$BJ$1)-COLUMN($C$1)))=YEAR(Controls!$B$6)+1)*(COLUMN($C$1:$BJ$1)-COLUMN($C$1)&lt;Controls!$B$7)*$C$27:$BJ$27)</f>
        <v>1061</v>
      </c>
      <c r="BM27" s="23">
        <f>SUMPRODUCT((YEAR(EDATE(Controls!$B$6,COLUMN($C$1:$BJ$1)-COLUMN($C$1)))=YEAR(Controls!$B$6)+2)*(COLUMN($C$1:$BJ$1)-COLUMN($C$1)&lt;Controls!$B$7)*$C$27:$BJ$27)</f>
        <v>2676</v>
      </c>
      <c r="BN27" s="23">
        <f>SUMPRODUCT((YEAR(EDATE(Controls!$B$6,COLUMN($C$1:$BJ$1)-COLUMN($C$1)))=YEAR(Controls!$B$6)+3)*(COLUMN($C$1:$BJ$1)-COLUMN($C$1)&lt;Controls!$B$7)*$C$27:$BJ$27)</f>
        <v>0</v>
      </c>
      <c r="BO27" s="23">
        <f>SUMPRODUCT((YEAR(EDATE(Controls!$B$6,COLUMN($C$1:$BJ$1)-COLUMN($C$1)))=YEAR(Controls!$B$6)+4)*(COLUMN($C$1:$BJ$1)-COLUMN($C$1)&lt;Controls!$B$7)*$C$27:$BJ$27)</f>
        <v>0</v>
      </c>
      <c r="BP27" s="23">
        <f>SUMPRODUCT((YEAR(EDATE(Controls!$B$6,COLUMN($C$1:$BJ$1)-COLUMN($C$1)))=YEAR(Controls!$B$6)+5)*(COLUMN($C$1:$BJ$1)-COLUMN($C$1)&lt;Controls!$B$7)*$C$27:$BJ$27)</f>
        <v>0</v>
      </c>
    </row>
    <row r="29" spans="1:68" ht="18" customHeight="1" x14ac:dyDescent="0.35">
      <c r="A29" s="54" t="s">
        <v>129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</row>
    <row r="30" spans="1:68" x14ac:dyDescent="0.35">
      <c r="A30" s="15" t="s">
        <v>130</v>
      </c>
      <c r="B30" s="20" t="s">
        <v>116</v>
      </c>
      <c r="C30" s="9">
        <v>15</v>
      </c>
    </row>
    <row r="31" spans="1:68" x14ac:dyDescent="0.35">
      <c r="A31" s="15" t="s">
        <v>131</v>
      </c>
      <c r="B31" s="20" t="s">
        <v>110</v>
      </c>
      <c r="C31" s="10">
        <v>0.05</v>
      </c>
    </row>
    <row r="32" spans="1:68" x14ac:dyDescent="0.35">
      <c r="A32" s="15" t="s">
        <v>132</v>
      </c>
      <c r="B32" s="20" t="s">
        <v>116</v>
      </c>
      <c r="C32" s="23">
        <f>C30</f>
        <v>15</v>
      </c>
      <c r="D32" s="23">
        <f>IF(COLUMN()-2&lt;=Controls!$B$7,C32*(1+$C$31),0)</f>
        <v>15.75</v>
      </c>
      <c r="E32" s="23">
        <f>IF(COLUMN()-2&lt;=Controls!$B$7,D32*(1+$C$31),0)</f>
        <v>16.537500000000001</v>
      </c>
      <c r="F32" s="23">
        <f>IF(COLUMN()-2&lt;=Controls!$B$7,E32*(1+$C$31),0)</f>
        <v>17.364375000000003</v>
      </c>
      <c r="G32" s="23">
        <f>IF(COLUMN()-2&lt;=Controls!$B$7,F32*(1+$C$31),0)</f>
        <v>18.232593750000003</v>
      </c>
      <c r="H32" s="23">
        <f>IF(COLUMN()-2&lt;=Controls!$B$7,G32*(1+$C$31),0)</f>
        <v>19.144223437500003</v>
      </c>
      <c r="I32" s="23">
        <f>IF(COLUMN()-2&lt;=Controls!$B$7,H32*(1+$C$31),0)</f>
        <v>20.101434609375005</v>
      </c>
      <c r="J32" s="23">
        <f>IF(COLUMN()-2&lt;=Controls!$B$7,I32*(1+$C$31),0)</f>
        <v>21.106506339843754</v>
      </c>
      <c r="K32" s="23">
        <f>IF(COLUMN()-2&lt;=Controls!$B$7,J32*(1+$C$31),0)</f>
        <v>22.161831656835943</v>
      </c>
      <c r="L32" s="23">
        <f>IF(COLUMN()-2&lt;=Controls!$B$7,K32*(1+$C$31),0)</f>
        <v>23.269923239677741</v>
      </c>
      <c r="M32" s="23">
        <f>IF(COLUMN()-2&lt;=Controls!$B$7,L32*(1+$C$31),0)</f>
        <v>24.433419401661631</v>
      </c>
      <c r="N32" s="23">
        <f>IF(COLUMN()-2&lt;=Controls!$B$7,M32*(1+$C$31),0)</f>
        <v>25.655090371744713</v>
      </c>
      <c r="O32" s="23">
        <f>IF(COLUMN()-2&lt;=Controls!$B$7,N32*(1+$C$31),0)</f>
        <v>26.937844890331949</v>
      </c>
      <c r="P32" s="23">
        <f>IF(COLUMN()-2&lt;=Controls!$B$7,O32*(1+$C$31),0)</f>
        <v>28.284737134848548</v>
      </c>
      <c r="Q32" s="23">
        <f>IF(COLUMN()-2&lt;=Controls!$B$7,P32*(1+$C$31),0)</f>
        <v>29.698973991590975</v>
      </c>
      <c r="R32" s="23">
        <f>IF(COLUMN()-2&lt;=Controls!$B$7,Q32*(1+$C$31),0)</f>
        <v>31.183922691170526</v>
      </c>
      <c r="S32" s="23">
        <f>IF(COLUMN()-2&lt;=Controls!$B$7,R32*(1+$C$31),0)</f>
        <v>32.743118825729056</v>
      </c>
      <c r="T32" s="23">
        <f>IF(COLUMN()-2&lt;=Controls!$B$7,S32*(1+$C$31),0)</f>
        <v>34.380274767015507</v>
      </c>
      <c r="U32" s="23">
        <f>IF(COLUMN()-2&lt;=Controls!$B$7,T32*(1+$C$31),0)</f>
        <v>36.099288505366282</v>
      </c>
      <c r="V32" s="23">
        <f>IF(COLUMN()-2&lt;=Controls!$B$7,U32*(1+$C$31),0)</f>
        <v>37.904252930634598</v>
      </c>
      <c r="W32" s="23">
        <f>IF(COLUMN()-2&lt;=Controls!$B$7,V32*(1+$C$31),0)</f>
        <v>39.79946557716633</v>
      </c>
      <c r="X32" s="23">
        <f>IF(COLUMN()-2&lt;=Controls!$B$7,W32*(1+$C$31),0)</f>
        <v>41.789438856024645</v>
      </c>
      <c r="Y32" s="23">
        <f>IF(COLUMN()-2&lt;=Controls!$B$7,X32*(1+$C$31),0)</f>
        <v>43.878910798825878</v>
      </c>
      <c r="Z32" s="23">
        <f>IF(COLUMN()-2&lt;=Controls!$B$7,Y32*(1+$C$31),0)</f>
        <v>46.072856338767174</v>
      </c>
      <c r="AA32" s="23">
        <f>IF(COLUMN()-2&lt;=Controls!$B$7,Z32*(1+$C$31),0)</f>
        <v>48.376499155705538</v>
      </c>
      <c r="AB32" s="23">
        <f>IF(COLUMN()-2&lt;=Controls!$B$7,AA32*(1+$C$31),0)</f>
        <v>50.795324113490814</v>
      </c>
      <c r="AC32" s="23">
        <f>IF(COLUMN()-2&lt;=Controls!$B$7,AB32*(1+$C$31),0)</f>
        <v>53.33509031916536</v>
      </c>
      <c r="AD32" s="23">
        <f>IF(COLUMN()-2&lt;=Controls!$B$7,AC32*(1+$C$31),0)</f>
        <v>56.001844835123627</v>
      </c>
      <c r="AE32" s="23">
        <f>IF(COLUMN()-2&lt;=Controls!$B$7,AD32*(1+$C$31),0)</f>
        <v>58.80193707687981</v>
      </c>
      <c r="AF32" s="23">
        <f>IF(COLUMN()-2&lt;=Controls!$B$7,AE32*(1+$C$31),0)</f>
        <v>61.7420339307238</v>
      </c>
      <c r="AG32" s="23">
        <f>IF(COLUMN()-2&lt;=Controls!$B$7,AF32*(1+$C$31),0)</f>
        <v>64.829135627259987</v>
      </c>
      <c r="AH32" s="23">
        <f>IF(COLUMN()-2&lt;=Controls!$B$7,AG32*(1+$C$31),0)</f>
        <v>68.070592408622986</v>
      </c>
      <c r="AI32" s="23">
        <f>IF(COLUMN()-2&lt;=Controls!$B$7,AH32*(1+$C$31),0)</f>
        <v>71.474122029054143</v>
      </c>
      <c r="AJ32" s="23">
        <f>IF(COLUMN()-2&lt;=Controls!$B$7,AI32*(1+$C$31),0)</f>
        <v>75.047828130506858</v>
      </c>
      <c r="AK32" s="23">
        <f>IF(COLUMN()-2&lt;=Controls!$B$7,AJ32*(1+$C$31),0)</f>
        <v>78.800219537032206</v>
      </c>
      <c r="AL32" s="23">
        <f>IF(COLUMN()-2&lt;=Controls!$B$7,AK32*(1+$C$31),0)</f>
        <v>82.740230513883816</v>
      </c>
      <c r="AM32" s="23">
        <f>IF(COLUMN()-2&lt;=Controls!$B$7,AL32*(1+$C$31),0)</f>
        <v>0</v>
      </c>
      <c r="AN32" s="23">
        <f>IF(COLUMN()-2&lt;=Controls!$B$7,AM32*(1+$C$31),0)</f>
        <v>0</v>
      </c>
      <c r="AO32" s="23">
        <f>IF(COLUMN()-2&lt;=Controls!$B$7,AN32*(1+$C$31),0)</f>
        <v>0</v>
      </c>
      <c r="AP32" s="23">
        <f>IF(COLUMN()-2&lt;=Controls!$B$7,AO32*(1+$C$31),0)</f>
        <v>0</v>
      </c>
      <c r="AQ32" s="23">
        <f>IF(COLUMN()-2&lt;=Controls!$B$7,AP32*(1+$C$31),0)</f>
        <v>0</v>
      </c>
      <c r="AR32" s="23">
        <f>IF(COLUMN()-2&lt;=Controls!$B$7,AQ32*(1+$C$31),0)</f>
        <v>0</v>
      </c>
      <c r="AS32" s="23">
        <f>IF(COLUMN()-2&lt;=Controls!$B$7,AR32*(1+$C$31),0)</f>
        <v>0</v>
      </c>
      <c r="AT32" s="23">
        <f>IF(COLUMN()-2&lt;=Controls!$B$7,AS32*(1+$C$31),0)</f>
        <v>0</v>
      </c>
      <c r="AU32" s="23">
        <f>IF(COLUMN()-2&lt;=Controls!$B$7,AT32*(1+$C$31),0)</f>
        <v>0</v>
      </c>
      <c r="AV32" s="23">
        <f>IF(COLUMN()-2&lt;=Controls!$B$7,AU32*(1+$C$31),0)</f>
        <v>0</v>
      </c>
      <c r="AW32" s="23">
        <f>IF(COLUMN()-2&lt;=Controls!$B$7,AV32*(1+$C$31),0)</f>
        <v>0</v>
      </c>
      <c r="AX32" s="23">
        <f>IF(COLUMN()-2&lt;=Controls!$B$7,AW32*(1+$C$31),0)</f>
        <v>0</v>
      </c>
      <c r="AY32" s="23">
        <f>IF(COLUMN()-2&lt;=Controls!$B$7,AX32*(1+$C$31),0)</f>
        <v>0</v>
      </c>
      <c r="AZ32" s="23">
        <f>IF(COLUMN()-2&lt;=Controls!$B$7,AY32*(1+$C$31),0)</f>
        <v>0</v>
      </c>
      <c r="BA32" s="23">
        <f>IF(COLUMN()-2&lt;=Controls!$B$7,AZ32*(1+$C$31),0)</f>
        <v>0</v>
      </c>
      <c r="BB32" s="23">
        <f>IF(COLUMN()-2&lt;=Controls!$B$7,BA32*(1+$C$31),0)</f>
        <v>0</v>
      </c>
      <c r="BC32" s="23">
        <f>IF(COLUMN()-2&lt;=Controls!$B$7,BB32*(1+$C$31),0)</f>
        <v>0</v>
      </c>
      <c r="BD32" s="23">
        <f>IF(COLUMN()-2&lt;=Controls!$B$7,BC32*(1+$C$31),0)</f>
        <v>0</v>
      </c>
      <c r="BE32" s="23">
        <f>IF(COLUMN()-2&lt;=Controls!$B$7,BD32*(1+$C$31),0)</f>
        <v>0</v>
      </c>
      <c r="BF32" s="23">
        <f>IF(COLUMN()-2&lt;=Controls!$B$7,BE32*(1+$C$31),0)</f>
        <v>0</v>
      </c>
      <c r="BG32" s="23">
        <f>IF(COLUMN()-2&lt;=Controls!$B$7,BF32*(1+$C$31),0)</f>
        <v>0</v>
      </c>
      <c r="BH32" s="23">
        <f>IF(COLUMN()-2&lt;=Controls!$B$7,BG32*(1+$C$31),0)</f>
        <v>0</v>
      </c>
      <c r="BI32" s="23">
        <f>IF(COLUMN()-2&lt;=Controls!$B$7,BH32*(1+$C$31),0)</f>
        <v>0</v>
      </c>
      <c r="BJ32" s="23">
        <f>IF(COLUMN()-2&lt;=Controls!$B$7,BI32*(1+$C$31),0)</f>
        <v>0</v>
      </c>
      <c r="BK32" s="23">
        <f>SUMPRODUCT((YEAR(EDATE(Controls!$B$6,COLUMN($C$1:$BJ$1)-COLUMN($C$1)))=YEAR(Controls!$B$6)+0)*(COLUMN($C$1:$BJ$1)-COLUMN($C$1)&lt;Controls!$B$7)*$C$32:$BJ$32)</f>
        <v>238.75689780663882</v>
      </c>
      <c r="BL32" s="23">
        <f>SUMPRODUCT((YEAR(EDATE(Controls!$B$6,COLUMN($C$1:$BJ$1)-COLUMN($C$1)))=YEAR(Controls!$B$6)+1)*(COLUMN($C$1:$BJ$1)-COLUMN($C$1)&lt;Controls!$B$7)*$C$32:$BJ$32)</f>
        <v>428.77308530747143</v>
      </c>
      <c r="BM32" s="23">
        <f>SUMPRODUCT((YEAR(EDATE(Controls!$B$6,COLUMN($C$1:$BJ$1)-COLUMN($C$1)))=YEAR(Controls!$B$6)+2)*(COLUMN($C$1:$BJ$1)-COLUMN($C$1)&lt;Controls!$B$7)*$C$32:$BJ$32)</f>
        <v>770.01485767744896</v>
      </c>
      <c r="BN32" s="23">
        <f>SUMPRODUCT((YEAR(EDATE(Controls!$B$6,COLUMN($C$1:$BJ$1)-COLUMN($C$1)))=YEAR(Controls!$B$6)+3)*(COLUMN($C$1:$BJ$1)-COLUMN($C$1)&lt;Controls!$B$7)*$C$32:$BJ$32)</f>
        <v>0</v>
      </c>
      <c r="BO32" s="23">
        <f>SUMPRODUCT((YEAR(EDATE(Controls!$B$6,COLUMN($C$1:$BJ$1)-COLUMN($C$1)))=YEAR(Controls!$B$6)+4)*(COLUMN($C$1:$BJ$1)-COLUMN($C$1)&lt;Controls!$B$7)*$C$32:$BJ$32)</f>
        <v>0</v>
      </c>
      <c r="BP32" s="23">
        <f>SUMPRODUCT((YEAR(EDATE(Controls!$B$6,COLUMN($C$1:$BJ$1)-COLUMN($C$1)))=YEAR(Controls!$B$6)+5)*(COLUMN($C$1:$BJ$1)-COLUMN($C$1)&lt;Controls!$B$7)*$C$32:$BJ$32)</f>
        <v>0</v>
      </c>
    </row>
    <row r="33" spans="1:68" x14ac:dyDescent="0.35">
      <c r="A33" s="15" t="s">
        <v>133</v>
      </c>
      <c r="B33" s="20" t="s">
        <v>110</v>
      </c>
      <c r="C33" s="10">
        <v>0.15</v>
      </c>
    </row>
    <row r="34" spans="1:68" x14ac:dyDescent="0.35">
      <c r="A34" s="6" t="s">
        <v>134</v>
      </c>
      <c r="B34" s="20" t="s">
        <v>116</v>
      </c>
      <c r="C34" s="23">
        <f t="shared" ref="C34:AH34" si="4">ROUND(C32*$C$33,0)</f>
        <v>2</v>
      </c>
      <c r="D34" s="23">
        <f t="shared" si="4"/>
        <v>2</v>
      </c>
      <c r="E34" s="23">
        <f t="shared" si="4"/>
        <v>2</v>
      </c>
      <c r="F34" s="23">
        <f t="shared" si="4"/>
        <v>3</v>
      </c>
      <c r="G34" s="23">
        <f t="shared" si="4"/>
        <v>3</v>
      </c>
      <c r="H34" s="23">
        <f t="shared" si="4"/>
        <v>3</v>
      </c>
      <c r="I34" s="23">
        <f t="shared" si="4"/>
        <v>3</v>
      </c>
      <c r="J34" s="23">
        <f t="shared" si="4"/>
        <v>3</v>
      </c>
      <c r="K34" s="23">
        <f t="shared" si="4"/>
        <v>3</v>
      </c>
      <c r="L34" s="23">
        <f t="shared" si="4"/>
        <v>3</v>
      </c>
      <c r="M34" s="23">
        <f t="shared" si="4"/>
        <v>4</v>
      </c>
      <c r="N34" s="23">
        <f t="shared" si="4"/>
        <v>4</v>
      </c>
      <c r="O34" s="23">
        <f t="shared" si="4"/>
        <v>4</v>
      </c>
      <c r="P34" s="23">
        <f t="shared" si="4"/>
        <v>4</v>
      </c>
      <c r="Q34" s="23">
        <f t="shared" si="4"/>
        <v>4</v>
      </c>
      <c r="R34" s="23">
        <f t="shared" si="4"/>
        <v>5</v>
      </c>
      <c r="S34" s="23">
        <f t="shared" si="4"/>
        <v>5</v>
      </c>
      <c r="T34" s="23">
        <f t="shared" si="4"/>
        <v>5</v>
      </c>
      <c r="U34" s="23">
        <f t="shared" si="4"/>
        <v>5</v>
      </c>
      <c r="V34" s="23">
        <f t="shared" si="4"/>
        <v>6</v>
      </c>
      <c r="W34" s="23">
        <f t="shared" si="4"/>
        <v>6</v>
      </c>
      <c r="X34" s="23">
        <f t="shared" si="4"/>
        <v>6</v>
      </c>
      <c r="Y34" s="23">
        <f t="shared" si="4"/>
        <v>7</v>
      </c>
      <c r="Z34" s="23">
        <f t="shared" si="4"/>
        <v>7</v>
      </c>
      <c r="AA34" s="23">
        <f t="shared" si="4"/>
        <v>7</v>
      </c>
      <c r="AB34" s="23">
        <f t="shared" si="4"/>
        <v>8</v>
      </c>
      <c r="AC34" s="23">
        <f t="shared" si="4"/>
        <v>8</v>
      </c>
      <c r="AD34" s="23">
        <f t="shared" si="4"/>
        <v>8</v>
      </c>
      <c r="AE34" s="23">
        <f t="shared" si="4"/>
        <v>9</v>
      </c>
      <c r="AF34" s="23">
        <f t="shared" si="4"/>
        <v>9</v>
      </c>
      <c r="AG34" s="23">
        <f t="shared" si="4"/>
        <v>10</v>
      </c>
      <c r="AH34" s="23">
        <f t="shared" si="4"/>
        <v>10</v>
      </c>
      <c r="AI34" s="23">
        <f t="shared" ref="AI34:BJ34" si="5">ROUND(AI32*$C$33,0)</f>
        <v>11</v>
      </c>
      <c r="AJ34" s="23">
        <f t="shared" si="5"/>
        <v>11</v>
      </c>
      <c r="AK34" s="23">
        <f t="shared" si="5"/>
        <v>12</v>
      </c>
      <c r="AL34" s="23">
        <f t="shared" si="5"/>
        <v>12</v>
      </c>
      <c r="AM34" s="23">
        <f t="shared" si="5"/>
        <v>0</v>
      </c>
      <c r="AN34" s="23">
        <f t="shared" si="5"/>
        <v>0</v>
      </c>
      <c r="AO34" s="23">
        <f t="shared" si="5"/>
        <v>0</v>
      </c>
      <c r="AP34" s="23">
        <f t="shared" si="5"/>
        <v>0</v>
      </c>
      <c r="AQ34" s="23">
        <f t="shared" si="5"/>
        <v>0</v>
      </c>
      <c r="AR34" s="23">
        <f t="shared" si="5"/>
        <v>0</v>
      </c>
      <c r="AS34" s="23">
        <f t="shared" si="5"/>
        <v>0</v>
      </c>
      <c r="AT34" s="23">
        <f t="shared" si="5"/>
        <v>0</v>
      </c>
      <c r="AU34" s="23">
        <f t="shared" si="5"/>
        <v>0</v>
      </c>
      <c r="AV34" s="23">
        <f t="shared" si="5"/>
        <v>0</v>
      </c>
      <c r="AW34" s="23">
        <f t="shared" si="5"/>
        <v>0</v>
      </c>
      <c r="AX34" s="23">
        <f t="shared" si="5"/>
        <v>0</v>
      </c>
      <c r="AY34" s="23">
        <f t="shared" si="5"/>
        <v>0</v>
      </c>
      <c r="AZ34" s="23">
        <f t="shared" si="5"/>
        <v>0</v>
      </c>
      <c r="BA34" s="23">
        <f t="shared" si="5"/>
        <v>0</v>
      </c>
      <c r="BB34" s="23">
        <f t="shared" si="5"/>
        <v>0</v>
      </c>
      <c r="BC34" s="23">
        <f t="shared" si="5"/>
        <v>0</v>
      </c>
      <c r="BD34" s="23">
        <f t="shared" si="5"/>
        <v>0</v>
      </c>
      <c r="BE34" s="23">
        <f t="shared" si="5"/>
        <v>0</v>
      </c>
      <c r="BF34" s="23">
        <f t="shared" si="5"/>
        <v>0</v>
      </c>
      <c r="BG34" s="23">
        <f t="shared" si="5"/>
        <v>0</v>
      </c>
      <c r="BH34" s="23">
        <f t="shared" si="5"/>
        <v>0</v>
      </c>
      <c r="BI34" s="23">
        <f t="shared" si="5"/>
        <v>0</v>
      </c>
      <c r="BJ34" s="23">
        <f t="shared" si="5"/>
        <v>0</v>
      </c>
      <c r="BK34" s="23">
        <f>SUMPRODUCT((YEAR(EDATE(Controls!$B$6,COLUMN($C$1:$BJ$1)-COLUMN($C$1)))=YEAR(Controls!$B$6)+0)*(COLUMN($C$1:$BJ$1)-COLUMN($C$1)&lt;Controls!$B$7)*$C$34:$BJ$34)</f>
        <v>35</v>
      </c>
      <c r="BL34" s="23">
        <f>SUMPRODUCT((YEAR(EDATE(Controls!$B$6,COLUMN($C$1:$BJ$1)-COLUMN($C$1)))=YEAR(Controls!$B$6)+1)*(COLUMN($C$1:$BJ$1)-COLUMN($C$1)&lt;Controls!$B$7)*$C$34:$BJ$34)</f>
        <v>64</v>
      </c>
      <c r="BM34" s="23">
        <f>SUMPRODUCT((YEAR(EDATE(Controls!$B$6,COLUMN($C$1:$BJ$1)-COLUMN($C$1)))=YEAR(Controls!$B$6)+2)*(COLUMN($C$1:$BJ$1)-COLUMN($C$1)&lt;Controls!$B$7)*$C$34:$BJ$34)</f>
        <v>115</v>
      </c>
      <c r="BN34" s="23">
        <f>SUMPRODUCT((YEAR(EDATE(Controls!$B$6,COLUMN($C$1:$BJ$1)-COLUMN($C$1)))=YEAR(Controls!$B$6)+3)*(COLUMN($C$1:$BJ$1)-COLUMN($C$1)&lt;Controls!$B$7)*$C$34:$BJ$34)</f>
        <v>0</v>
      </c>
      <c r="BO34" s="23">
        <f>SUMPRODUCT((YEAR(EDATE(Controls!$B$6,COLUMN($C$1:$BJ$1)-COLUMN($C$1)))=YEAR(Controls!$B$6)+4)*(COLUMN($C$1:$BJ$1)-COLUMN($C$1)&lt;Controls!$B$7)*$C$34:$BJ$34)</f>
        <v>0</v>
      </c>
      <c r="BP34" s="23">
        <f>SUMPRODUCT((YEAR(EDATE(Controls!$B$6,COLUMN($C$1:$BJ$1)-COLUMN($C$1)))=YEAR(Controls!$B$6)+5)*(COLUMN($C$1:$BJ$1)-COLUMN($C$1)&lt;Controls!$B$7)*$C$34:$BJ$34)</f>
        <v>0</v>
      </c>
    </row>
    <row r="36" spans="1:68" x14ac:dyDescent="0.35">
      <c r="A36" s="25" t="s">
        <v>135</v>
      </c>
      <c r="B36" s="20" t="s">
        <v>136</v>
      </c>
      <c r="C36" s="26">
        <f>IF(Controls!$B$12="Upside",Controls!$B$13,IF(Controls!$B$12="Downside",Controls!$B$14,1))</f>
        <v>1</v>
      </c>
      <c r="D36" s="26">
        <f>IF(Controls!$B$12="Upside",Controls!$B$13,IF(Controls!$B$12="Downside",Controls!$B$14,1))</f>
        <v>1</v>
      </c>
      <c r="E36" s="26">
        <f>IF(Controls!$B$12="Upside",Controls!$B$13,IF(Controls!$B$12="Downside",Controls!$B$14,1))</f>
        <v>1</v>
      </c>
      <c r="F36" s="26">
        <f>IF(Controls!$B$12="Upside",Controls!$B$13,IF(Controls!$B$12="Downside",Controls!$B$14,1))</f>
        <v>1</v>
      </c>
      <c r="G36" s="26">
        <f>IF(Controls!$B$12="Upside",Controls!$B$13,IF(Controls!$B$12="Downside",Controls!$B$14,1))</f>
        <v>1</v>
      </c>
      <c r="H36" s="26">
        <f>IF(Controls!$B$12="Upside",Controls!$B$13,IF(Controls!$B$12="Downside",Controls!$B$14,1))</f>
        <v>1</v>
      </c>
      <c r="I36" s="26">
        <f>IF(Controls!$B$12="Upside",Controls!$B$13,IF(Controls!$B$12="Downside",Controls!$B$14,1))</f>
        <v>1</v>
      </c>
      <c r="J36" s="26">
        <f>IF(Controls!$B$12="Upside",Controls!$B$13,IF(Controls!$B$12="Downside",Controls!$B$14,1))</f>
        <v>1</v>
      </c>
      <c r="K36" s="26">
        <f>IF(Controls!$B$12="Upside",Controls!$B$13,IF(Controls!$B$12="Downside",Controls!$B$14,1))</f>
        <v>1</v>
      </c>
      <c r="L36" s="26">
        <f>IF(Controls!$B$12="Upside",Controls!$B$13,IF(Controls!$B$12="Downside",Controls!$B$14,1))</f>
        <v>1</v>
      </c>
      <c r="M36" s="26">
        <f>IF(Controls!$B$12="Upside",Controls!$B$13,IF(Controls!$B$12="Downside",Controls!$B$14,1))</f>
        <v>1</v>
      </c>
      <c r="N36" s="26">
        <f>IF(Controls!$B$12="Upside",Controls!$B$13,IF(Controls!$B$12="Downside",Controls!$B$14,1))</f>
        <v>1</v>
      </c>
      <c r="O36" s="26">
        <f>IF(Controls!$B$12="Upside",Controls!$B$13,IF(Controls!$B$12="Downside",Controls!$B$14,1))</f>
        <v>1</v>
      </c>
      <c r="P36" s="26">
        <f>IF(Controls!$B$12="Upside",Controls!$B$13,IF(Controls!$B$12="Downside",Controls!$B$14,1))</f>
        <v>1</v>
      </c>
      <c r="Q36" s="26">
        <f>IF(Controls!$B$12="Upside",Controls!$B$13,IF(Controls!$B$12="Downside",Controls!$B$14,1))</f>
        <v>1</v>
      </c>
      <c r="R36" s="26">
        <f>IF(Controls!$B$12="Upside",Controls!$B$13,IF(Controls!$B$12="Downside",Controls!$B$14,1))</f>
        <v>1</v>
      </c>
      <c r="S36" s="26">
        <f>IF(Controls!$B$12="Upside",Controls!$B$13,IF(Controls!$B$12="Downside",Controls!$B$14,1))</f>
        <v>1</v>
      </c>
      <c r="T36" s="26">
        <f>IF(Controls!$B$12="Upside",Controls!$B$13,IF(Controls!$B$12="Downside",Controls!$B$14,1))</f>
        <v>1</v>
      </c>
      <c r="U36" s="26">
        <f>IF(Controls!$B$12="Upside",Controls!$B$13,IF(Controls!$B$12="Downside",Controls!$B$14,1))</f>
        <v>1</v>
      </c>
      <c r="V36" s="26">
        <f>IF(Controls!$B$12="Upside",Controls!$B$13,IF(Controls!$B$12="Downside",Controls!$B$14,1))</f>
        <v>1</v>
      </c>
      <c r="W36" s="26">
        <f>IF(Controls!$B$12="Upside",Controls!$B$13,IF(Controls!$B$12="Downside",Controls!$B$14,1))</f>
        <v>1</v>
      </c>
      <c r="X36" s="26">
        <f>IF(Controls!$B$12="Upside",Controls!$B$13,IF(Controls!$B$12="Downside",Controls!$B$14,1))</f>
        <v>1</v>
      </c>
      <c r="Y36" s="26">
        <f>IF(Controls!$B$12="Upside",Controls!$B$13,IF(Controls!$B$12="Downside",Controls!$B$14,1))</f>
        <v>1</v>
      </c>
      <c r="Z36" s="26">
        <f>IF(Controls!$B$12="Upside",Controls!$B$13,IF(Controls!$B$12="Downside",Controls!$B$14,1))</f>
        <v>1</v>
      </c>
      <c r="AA36" s="26">
        <f>IF(Controls!$B$12="Upside",Controls!$B$13,IF(Controls!$B$12="Downside",Controls!$B$14,1))</f>
        <v>1</v>
      </c>
      <c r="AB36" s="26">
        <f>IF(Controls!$B$12="Upside",Controls!$B$13,IF(Controls!$B$12="Downside",Controls!$B$14,1))</f>
        <v>1</v>
      </c>
      <c r="AC36" s="26">
        <f>IF(Controls!$B$12="Upside",Controls!$B$13,IF(Controls!$B$12="Downside",Controls!$B$14,1))</f>
        <v>1</v>
      </c>
      <c r="AD36" s="26">
        <f>IF(Controls!$B$12="Upside",Controls!$B$13,IF(Controls!$B$12="Downside",Controls!$B$14,1))</f>
        <v>1</v>
      </c>
      <c r="AE36" s="26">
        <f>IF(Controls!$B$12="Upside",Controls!$B$13,IF(Controls!$B$12="Downside",Controls!$B$14,1))</f>
        <v>1</v>
      </c>
      <c r="AF36" s="26">
        <f>IF(Controls!$B$12="Upside",Controls!$B$13,IF(Controls!$B$12="Downside",Controls!$B$14,1))</f>
        <v>1</v>
      </c>
      <c r="AG36" s="26">
        <f>IF(Controls!$B$12="Upside",Controls!$B$13,IF(Controls!$B$12="Downside",Controls!$B$14,1))</f>
        <v>1</v>
      </c>
      <c r="AH36" s="26">
        <f>IF(Controls!$B$12="Upside",Controls!$B$13,IF(Controls!$B$12="Downside",Controls!$B$14,1))</f>
        <v>1</v>
      </c>
      <c r="AI36" s="26">
        <f>IF(Controls!$B$12="Upside",Controls!$B$13,IF(Controls!$B$12="Downside",Controls!$B$14,1))</f>
        <v>1</v>
      </c>
      <c r="AJ36" s="26">
        <f>IF(Controls!$B$12="Upside",Controls!$B$13,IF(Controls!$B$12="Downside",Controls!$B$14,1))</f>
        <v>1</v>
      </c>
      <c r="AK36" s="26">
        <f>IF(Controls!$B$12="Upside",Controls!$B$13,IF(Controls!$B$12="Downside",Controls!$B$14,1))</f>
        <v>1</v>
      </c>
      <c r="AL36" s="26">
        <f>IF(Controls!$B$12="Upside",Controls!$B$13,IF(Controls!$B$12="Downside",Controls!$B$14,1))</f>
        <v>1</v>
      </c>
      <c r="AM36" s="26">
        <f>IF(Controls!$B$12="Upside",Controls!$B$13,IF(Controls!$B$12="Downside",Controls!$B$14,1))</f>
        <v>1</v>
      </c>
      <c r="AN36" s="26">
        <f>IF(Controls!$B$12="Upside",Controls!$B$13,IF(Controls!$B$12="Downside",Controls!$B$14,1))</f>
        <v>1</v>
      </c>
      <c r="AO36" s="26">
        <f>IF(Controls!$B$12="Upside",Controls!$B$13,IF(Controls!$B$12="Downside",Controls!$B$14,1))</f>
        <v>1</v>
      </c>
      <c r="AP36" s="26">
        <f>IF(Controls!$B$12="Upside",Controls!$B$13,IF(Controls!$B$12="Downside",Controls!$B$14,1))</f>
        <v>1</v>
      </c>
      <c r="AQ36" s="26">
        <f>IF(Controls!$B$12="Upside",Controls!$B$13,IF(Controls!$B$12="Downside",Controls!$B$14,1))</f>
        <v>1</v>
      </c>
      <c r="AR36" s="26">
        <f>IF(Controls!$B$12="Upside",Controls!$B$13,IF(Controls!$B$12="Downside",Controls!$B$14,1))</f>
        <v>1</v>
      </c>
      <c r="AS36" s="26">
        <f>IF(Controls!$B$12="Upside",Controls!$B$13,IF(Controls!$B$12="Downside",Controls!$B$14,1))</f>
        <v>1</v>
      </c>
      <c r="AT36" s="26">
        <f>IF(Controls!$B$12="Upside",Controls!$B$13,IF(Controls!$B$12="Downside",Controls!$B$14,1))</f>
        <v>1</v>
      </c>
      <c r="AU36" s="26">
        <f>IF(Controls!$B$12="Upside",Controls!$B$13,IF(Controls!$B$12="Downside",Controls!$B$14,1))</f>
        <v>1</v>
      </c>
      <c r="AV36" s="26">
        <f>IF(Controls!$B$12="Upside",Controls!$B$13,IF(Controls!$B$12="Downside",Controls!$B$14,1))</f>
        <v>1</v>
      </c>
      <c r="AW36" s="26">
        <f>IF(Controls!$B$12="Upside",Controls!$B$13,IF(Controls!$B$12="Downside",Controls!$B$14,1))</f>
        <v>1</v>
      </c>
      <c r="AX36" s="26">
        <f>IF(Controls!$B$12="Upside",Controls!$B$13,IF(Controls!$B$12="Downside",Controls!$B$14,1))</f>
        <v>1</v>
      </c>
      <c r="AY36" s="26">
        <f>IF(Controls!$B$12="Upside",Controls!$B$13,IF(Controls!$B$12="Downside",Controls!$B$14,1))</f>
        <v>1</v>
      </c>
      <c r="AZ36" s="26">
        <f>IF(Controls!$B$12="Upside",Controls!$B$13,IF(Controls!$B$12="Downside",Controls!$B$14,1))</f>
        <v>1</v>
      </c>
      <c r="BA36" s="26">
        <f>IF(Controls!$B$12="Upside",Controls!$B$13,IF(Controls!$B$12="Downside",Controls!$B$14,1))</f>
        <v>1</v>
      </c>
      <c r="BB36" s="26">
        <f>IF(Controls!$B$12="Upside",Controls!$B$13,IF(Controls!$B$12="Downside",Controls!$B$14,1))</f>
        <v>1</v>
      </c>
      <c r="BC36" s="26">
        <f>IF(Controls!$B$12="Upside",Controls!$B$13,IF(Controls!$B$12="Downside",Controls!$B$14,1))</f>
        <v>1</v>
      </c>
      <c r="BD36" s="26">
        <f>IF(Controls!$B$12="Upside",Controls!$B$13,IF(Controls!$B$12="Downside",Controls!$B$14,1))</f>
        <v>1</v>
      </c>
      <c r="BE36" s="26">
        <f>IF(Controls!$B$12="Upside",Controls!$B$13,IF(Controls!$B$12="Downside",Controls!$B$14,1))</f>
        <v>1</v>
      </c>
      <c r="BF36" s="26">
        <f>IF(Controls!$B$12="Upside",Controls!$B$13,IF(Controls!$B$12="Downside",Controls!$B$14,1))</f>
        <v>1</v>
      </c>
      <c r="BG36" s="26">
        <f>IF(Controls!$B$12="Upside",Controls!$B$13,IF(Controls!$B$12="Downside",Controls!$B$14,1))</f>
        <v>1</v>
      </c>
      <c r="BH36" s="26">
        <f>IF(Controls!$B$12="Upside",Controls!$B$13,IF(Controls!$B$12="Downside",Controls!$B$14,1))</f>
        <v>1</v>
      </c>
      <c r="BI36" s="26">
        <f>IF(Controls!$B$12="Upside",Controls!$B$13,IF(Controls!$B$12="Downside",Controls!$B$14,1))</f>
        <v>1</v>
      </c>
      <c r="BJ36" s="26">
        <f>IF(Controls!$B$12="Upside",Controls!$B$13,IF(Controls!$B$12="Downside",Controls!$B$14,1))</f>
        <v>1</v>
      </c>
      <c r="BK36" s="26">
        <f>IFERROR(SUMPRODUCT((YEAR(EDATE(Controls!$B$6,COLUMN($C$1:$BJ$1)-COLUMN($C$1)))=YEAR(Controls!$B$6)+0)*(COLUMN($C$1:$BJ$1)-COLUMN($C$1)&lt;Controls!$B$7)*$C$36:$BJ$36)/SUMPRODUCT((YEAR(EDATE(Controls!$B$6,COLUMN($C$1:$BJ$1)-COLUMN($C$1)))=YEAR(Controls!$B$6)+0)*(COLUMN($C$1:$BJ$1)-COLUMN($C$1)&lt;Controls!$B$7)*1),0)</f>
        <v>1</v>
      </c>
      <c r="BL36" s="26">
        <f>IFERROR(SUMPRODUCT((YEAR(EDATE(Controls!$B$6,COLUMN($C$1:$BJ$1)-COLUMN($C$1)))=YEAR(Controls!$B$6)+1)*(COLUMN($C$1:$BJ$1)-COLUMN($C$1)&lt;Controls!$B$7)*$C$36:$BJ$36)/SUMPRODUCT((YEAR(EDATE(Controls!$B$6,COLUMN($C$1:$BJ$1)-COLUMN($C$1)))=YEAR(Controls!$B$6)+1)*(COLUMN($C$1:$BJ$1)-COLUMN($C$1)&lt;Controls!$B$7)*1),0)</f>
        <v>1</v>
      </c>
      <c r="BM36" s="26">
        <f>IFERROR(SUMPRODUCT((YEAR(EDATE(Controls!$B$6,COLUMN($C$1:$BJ$1)-COLUMN($C$1)))=YEAR(Controls!$B$6)+2)*(COLUMN($C$1:$BJ$1)-COLUMN($C$1)&lt;Controls!$B$7)*$C$36:$BJ$36)/SUMPRODUCT((YEAR(EDATE(Controls!$B$6,COLUMN($C$1:$BJ$1)-COLUMN($C$1)))=YEAR(Controls!$B$6)+2)*(COLUMN($C$1:$BJ$1)-COLUMN($C$1)&lt;Controls!$B$7)*1),0)</f>
        <v>1</v>
      </c>
      <c r="BN36" s="26">
        <f>IFERROR(SUMPRODUCT((YEAR(EDATE(Controls!$B$6,COLUMN($C$1:$BJ$1)-COLUMN($C$1)))=YEAR(Controls!$B$6)+3)*(COLUMN($C$1:$BJ$1)-COLUMN($C$1)&lt;Controls!$B$7)*$C$36:$BJ$36)/SUMPRODUCT((YEAR(EDATE(Controls!$B$6,COLUMN($C$1:$BJ$1)-COLUMN($C$1)))=YEAR(Controls!$B$6)+3)*(COLUMN($C$1:$BJ$1)-COLUMN($C$1)&lt;Controls!$B$7)*1),0)</f>
        <v>0</v>
      </c>
      <c r="BO36" s="26">
        <f>IFERROR(SUMPRODUCT((YEAR(EDATE(Controls!$B$6,COLUMN($C$1:$BJ$1)-COLUMN($C$1)))=YEAR(Controls!$B$6)+4)*(COLUMN($C$1:$BJ$1)-COLUMN($C$1)&lt;Controls!$B$7)*$C$36:$BJ$36)/SUMPRODUCT((YEAR(EDATE(Controls!$B$6,COLUMN($C$1:$BJ$1)-COLUMN($C$1)))=YEAR(Controls!$B$6)+4)*(COLUMN($C$1:$BJ$1)-COLUMN($C$1)&lt;Controls!$B$7)*1),0)</f>
        <v>0</v>
      </c>
      <c r="BP36" s="26">
        <f>IFERROR(SUMPRODUCT((YEAR(EDATE(Controls!$B$6,COLUMN($C$1:$BJ$1)-COLUMN($C$1)))=YEAR(Controls!$B$6)+5)*(COLUMN($C$1:$BJ$1)-COLUMN($C$1)&lt;Controls!$B$7)*$C$36:$BJ$36)/SUMPRODUCT((YEAR(EDATE(Controls!$B$6,COLUMN($C$1:$BJ$1)-COLUMN($C$1)))=YEAR(Controls!$B$6)+5)*(COLUMN($C$1:$BJ$1)-COLUMN($C$1)&lt;Controls!$B$7)*1),0)</f>
        <v>0</v>
      </c>
    </row>
    <row r="37" spans="1:68" x14ac:dyDescent="0.35">
      <c r="A37" s="6" t="s">
        <v>137</v>
      </c>
      <c r="B37" s="20" t="s">
        <v>116</v>
      </c>
      <c r="C37" s="23">
        <f t="shared" ref="C37:AH37" si="6">ROUND((C20+C27+C34)*C36,0)</f>
        <v>62</v>
      </c>
      <c r="D37" s="23">
        <f t="shared" si="6"/>
        <v>65</v>
      </c>
      <c r="E37" s="23">
        <f t="shared" si="6"/>
        <v>69</v>
      </c>
      <c r="F37" s="23">
        <f t="shared" si="6"/>
        <v>74</v>
      </c>
      <c r="G37" s="23">
        <f t="shared" si="6"/>
        <v>79</v>
      </c>
      <c r="H37" s="23">
        <f t="shared" si="6"/>
        <v>84</v>
      </c>
      <c r="I37" s="23">
        <f t="shared" si="6"/>
        <v>88</v>
      </c>
      <c r="J37" s="23">
        <f t="shared" si="6"/>
        <v>94</v>
      </c>
      <c r="K37" s="23">
        <f t="shared" si="6"/>
        <v>99</v>
      </c>
      <c r="L37" s="23">
        <f t="shared" si="6"/>
        <v>105</v>
      </c>
      <c r="M37" s="23">
        <f t="shared" si="6"/>
        <v>113</v>
      </c>
      <c r="N37" s="23">
        <f t="shared" si="6"/>
        <v>120</v>
      </c>
      <c r="O37" s="23">
        <f t="shared" si="6"/>
        <v>127</v>
      </c>
      <c r="P37" s="23">
        <f t="shared" si="6"/>
        <v>135</v>
      </c>
      <c r="Q37" s="23">
        <f t="shared" si="6"/>
        <v>143</v>
      </c>
      <c r="R37" s="23">
        <f t="shared" si="6"/>
        <v>153</v>
      </c>
      <c r="S37" s="23">
        <f t="shared" si="6"/>
        <v>163</v>
      </c>
      <c r="T37" s="23">
        <f t="shared" si="6"/>
        <v>173</v>
      </c>
      <c r="U37" s="23">
        <f t="shared" si="6"/>
        <v>184</v>
      </c>
      <c r="V37" s="23">
        <f t="shared" si="6"/>
        <v>197</v>
      </c>
      <c r="W37" s="23">
        <f t="shared" si="6"/>
        <v>209</v>
      </c>
      <c r="X37" s="23">
        <f t="shared" si="6"/>
        <v>222</v>
      </c>
      <c r="Y37" s="23">
        <f t="shared" si="6"/>
        <v>238</v>
      </c>
      <c r="Z37" s="23">
        <f t="shared" si="6"/>
        <v>252</v>
      </c>
      <c r="AA37" s="23">
        <f t="shared" si="6"/>
        <v>269</v>
      </c>
      <c r="AB37" s="23">
        <f t="shared" si="6"/>
        <v>287</v>
      </c>
      <c r="AC37" s="23">
        <f t="shared" si="6"/>
        <v>305</v>
      </c>
      <c r="AD37" s="23">
        <f t="shared" si="6"/>
        <v>326</v>
      </c>
      <c r="AE37" s="23">
        <f t="shared" si="6"/>
        <v>348</v>
      </c>
      <c r="AF37" s="23">
        <f t="shared" si="6"/>
        <v>370</v>
      </c>
      <c r="AG37" s="23">
        <f t="shared" si="6"/>
        <v>396</v>
      </c>
      <c r="AH37" s="23">
        <f t="shared" si="6"/>
        <v>422</v>
      </c>
      <c r="AI37" s="23">
        <f t="shared" ref="AI37:BJ37" si="7">ROUND((AI20+AI27+AI34)*AI36,0)</f>
        <v>451</v>
      </c>
      <c r="AJ37" s="23">
        <f t="shared" si="7"/>
        <v>481</v>
      </c>
      <c r="AK37" s="23">
        <f t="shared" si="7"/>
        <v>513</v>
      </c>
      <c r="AL37" s="23">
        <f t="shared" si="7"/>
        <v>548</v>
      </c>
      <c r="AM37" s="23">
        <f t="shared" si="7"/>
        <v>0</v>
      </c>
      <c r="AN37" s="23">
        <f t="shared" si="7"/>
        <v>0</v>
      </c>
      <c r="AO37" s="23">
        <f t="shared" si="7"/>
        <v>0</v>
      </c>
      <c r="AP37" s="23">
        <f t="shared" si="7"/>
        <v>0</v>
      </c>
      <c r="AQ37" s="23">
        <f t="shared" si="7"/>
        <v>0</v>
      </c>
      <c r="AR37" s="23">
        <f t="shared" si="7"/>
        <v>0</v>
      </c>
      <c r="AS37" s="23">
        <f t="shared" si="7"/>
        <v>0</v>
      </c>
      <c r="AT37" s="23">
        <f t="shared" si="7"/>
        <v>0</v>
      </c>
      <c r="AU37" s="23">
        <f t="shared" si="7"/>
        <v>0</v>
      </c>
      <c r="AV37" s="23">
        <f t="shared" si="7"/>
        <v>0</v>
      </c>
      <c r="AW37" s="23">
        <f t="shared" si="7"/>
        <v>0</v>
      </c>
      <c r="AX37" s="23">
        <f t="shared" si="7"/>
        <v>0</v>
      </c>
      <c r="AY37" s="23">
        <f t="shared" si="7"/>
        <v>0</v>
      </c>
      <c r="AZ37" s="23">
        <f t="shared" si="7"/>
        <v>0</v>
      </c>
      <c r="BA37" s="23">
        <f t="shared" si="7"/>
        <v>0</v>
      </c>
      <c r="BB37" s="23">
        <f t="shared" si="7"/>
        <v>0</v>
      </c>
      <c r="BC37" s="23">
        <f t="shared" si="7"/>
        <v>0</v>
      </c>
      <c r="BD37" s="23">
        <f t="shared" si="7"/>
        <v>0</v>
      </c>
      <c r="BE37" s="23">
        <f t="shared" si="7"/>
        <v>0</v>
      </c>
      <c r="BF37" s="23">
        <f t="shared" si="7"/>
        <v>0</v>
      </c>
      <c r="BG37" s="23">
        <f t="shared" si="7"/>
        <v>0</v>
      </c>
      <c r="BH37" s="23">
        <f t="shared" si="7"/>
        <v>0</v>
      </c>
      <c r="BI37" s="23">
        <f t="shared" si="7"/>
        <v>0</v>
      </c>
      <c r="BJ37" s="23">
        <f t="shared" si="7"/>
        <v>0</v>
      </c>
      <c r="BK37" s="23">
        <f>SUMPRODUCT((YEAR(EDATE(Controls!$B$6,COLUMN($C$1:$BJ$1)-COLUMN($C$1)))=YEAR(Controls!$B$6)+0)*(COLUMN($C$1:$BJ$1)-COLUMN($C$1)&lt;Controls!$B$7)*$C$37:$BJ$37)</f>
        <v>1052</v>
      </c>
      <c r="BL37" s="23">
        <f>SUMPRODUCT((YEAR(EDATE(Controls!$B$6,COLUMN($C$1:$BJ$1)-COLUMN($C$1)))=YEAR(Controls!$B$6)+1)*(COLUMN($C$1:$BJ$1)-COLUMN($C$1)&lt;Controls!$B$7)*$C$37:$BJ$37)</f>
        <v>2196</v>
      </c>
      <c r="BM37" s="23">
        <f>SUMPRODUCT((YEAR(EDATE(Controls!$B$6,COLUMN($C$1:$BJ$1)-COLUMN($C$1)))=YEAR(Controls!$B$6)+2)*(COLUMN($C$1:$BJ$1)-COLUMN($C$1)&lt;Controls!$B$7)*$C$37:$BJ$37)</f>
        <v>4716</v>
      </c>
      <c r="BN37" s="23">
        <f>SUMPRODUCT((YEAR(EDATE(Controls!$B$6,COLUMN($C$1:$BJ$1)-COLUMN($C$1)))=YEAR(Controls!$B$6)+3)*(COLUMN($C$1:$BJ$1)-COLUMN($C$1)&lt;Controls!$B$7)*$C$37:$BJ$37)</f>
        <v>0</v>
      </c>
      <c r="BO37" s="23">
        <f>SUMPRODUCT((YEAR(EDATE(Controls!$B$6,COLUMN($C$1:$BJ$1)-COLUMN($C$1)))=YEAR(Controls!$B$6)+4)*(COLUMN($C$1:$BJ$1)-COLUMN($C$1)&lt;Controls!$B$7)*$C$37:$BJ$37)</f>
        <v>0</v>
      </c>
      <c r="BP37" s="23">
        <f>SUMPRODUCT((YEAR(EDATE(Controls!$B$6,COLUMN($C$1:$BJ$1)-COLUMN($C$1)))=YEAR(Controls!$B$6)+5)*(COLUMN($C$1:$BJ$1)-COLUMN($C$1)&lt;Controls!$B$7)*$C$37:$BJ$37)</f>
        <v>0</v>
      </c>
    </row>
    <row r="39" spans="1:68" ht="18" customHeight="1" x14ac:dyDescent="0.35">
      <c r="A39" s="58" t="s">
        <v>138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</row>
    <row r="40" spans="1:68" x14ac:dyDescent="0.35">
      <c r="A40" s="15" t="s">
        <v>139</v>
      </c>
      <c r="B40" s="20" t="s">
        <v>110</v>
      </c>
      <c r="C40" s="10">
        <v>0.6</v>
      </c>
    </row>
    <row r="41" spans="1:68" x14ac:dyDescent="0.35">
      <c r="A41" s="15" t="s">
        <v>140</v>
      </c>
      <c r="B41" s="20" t="s">
        <v>110</v>
      </c>
      <c r="C41" s="10">
        <v>0.3</v>
      </c>
    </row>
    <row r="42" spans="1:68" x14ac:dyDescent="0.35">
      <c r="A42" s="15" t="s">
        <v>141</v>
      </c>
      <c r="B42" s="20" t="s">
        <v>110</v>
      </c>
      <c r="C42" s="10">
        <v>0.1</v>
      </c>
    </row>
    <row r="43" spans="1:68" x14ac:dyDescent="0.35">
      <c r="A43" s="25" t="s">
        <v>142</v>
      </c>
      <c r="B43" s="20" t="s">
        <v>110</v>
      </c>
      <c r="C43" s="27">
        <f>C40+C41+C42</f>
        <v>0.99999999999999989</v>
      </c>
    </row>
    <row r="45" spans="1:68" ht="18" customHeight="1" x14ac:dyDescent="0.35">
      <c r="A45" s="58" t="s">
        <v>143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</row>
    <row r="46" spans="1:68" x14ac:dyDescent="0.35">
      <c r="A46" s="15" t="s">
        <v>144</v>
      </c>
      <c r="B46" s="20" t="s">
        <v>116</v>
      </c>
      <c r="C46" s="23">
        <f>5</f>
        <v>5</v>
      </c>
      <c r="D46" s="23">
        <f t="shared" ref="D46:AI46" si="8">C49</f>
        <v>42</v>
      </c>
      <c r="E46" s="23">
        <f t="shared" si="8"/>
        <v>80</v>
      </c>
      <c r="F46" s="23">
        <f t="shared" si="8"/>
        <v>119</v>
      </c>
      <c r="G46" s="23">
        <f t="shared" si="8"/>
        <v>159</v>
      </c>
      <c r="H46" s="23">
        <f t="shared" si="8"/>
        <v>201</v>
      </c>
      <c r="I46" s="23">
        <f t="shared" si="8"/>
        <v>245</v>
      </c>
      <c r="J46" s="23">
        <f t="shared" si="8"/>
        <v>291</v>
      </c>
      <c r="K46" s="23">
        <f t="shared" si="8"/>
        <v>338</v>
      </c>
      <c r="L46" s="23">
        <f t="shared" si="8"/>
        <v>387</v>
      </c>
      <c r="M46" s="23">
        <f t="shared" si="8"/>
        <v>438</v>
      </c>
      <c r="N46" s="23">
        <f t="shared" si="8"/>
        <v>493</v>
      </c>
      <c r="O46" s="23">
        <f t="shared" si="8"/>
        <v>550</v>
      </c>
      <c r="P46" s="23">
        <f t="shared" si="8"/>
        <v>609</v>
      </c>
      <c r="Q46" s="23">
        <f t="shared" si="8"/>
        <v>672</v>
      </c>
      <c r="R46" s="23">
        <f t="shared" si="8"/>
        <v>738</v>
      </c>
      <c r="S46" s="23">
        <f t="shared" si="8"/>
        <v>808</v>
      </c>
      <c r="T46" s="23">
        <f t="shared" si="8"/>
        <v>882</v>
      </c>
      <c r="U46" s="23">
        <f t="shared" si="8"/>
        <v>960</v>
      </c>
      <c r="V46" s="23">
        <f t="shared" si="8"/>
        <v>1041</v>
      </c>
      <c r="W46" s="23">
        <f t="shared" si="8"/>
        <v>1128</v>
      </c>
      <c r="X46" s="23">
        <f t="shared" si="8"/>
        <v>1219</v>
      </c>
      <c r="Y46" s="23">
        <f t="shared" si="8"/>
        <v>1315</v>
      </c>
      <c r="Z46" s="23">
        <f t="shared" si="8"/>
        <v>1419</v>
      </c>
      <c r="AA46" s="23">
        <f t="shared" si="8"/>
        <v>1527</v>
      </c>
      <c r="AB46" s="23">
        <f t="shared" si="8"/>
        <v>1642</v>
      </c>
      <c r="AC46" s="23">
        <f t="shared" si="8"/>
        <v>1765</v>
      </c>
      <c r="AD46" s="23">
        <f t="shared" si="8"/>
        <v>1895</v>
      </c>
      <c r="AE46" s="23">
        <f t="shared" si="8"/>
        <v>2034</v>
      </c>
      <c r="AF46" s="23">
        <f t="shared" si="8"/>
        <v>2182</v>
      </c>
      <c r="AG46" s="23">
        <f t="shared" si="8"/>
        <v>2339</v>
      </c>
      <c r="AH46" s="23">
        <f t="shared" si="8"/>
        <v>2507</v>
      </c>
      <c r="AI46" s="23">
        <f t="shared" si="8"/>
        <v>2685</v>
      </c>
      <c r="AJ46" s="23">
        <f t="shared" ref="AJ46:BJ46" si="9">AI49</f>
        <v>2875</v>
      </c>
      <c r="AK46" s="23">
        <f t="shared" si="9"/>
        <v>3078</v>
      </c>
      <c r="AL46" s="23">
        <f t="shared" si="9"/>
        <v>3294</v>
      </c>
      <c r="AM46" s="23">
        <f t="shared" si="9"/>
        <v>3524</v>
      </c>
      <c r="AN46" s="23">
        <f t="shared" si="9"/>
        <v>3418</v>
      </c>
      <c r="AO46" s="23">
        <f t="shared" si="9"/>
        <v>3315</v>
      </c>
      <c r="AP46" s="23">
        <f t="shared" si="9"/>
        <v>3216</v>
      </c>
      <c r="AQ46" s="23">
        <f t="shared" si="9"/>
        <v>3120</v>
      </c>
      <c r="AR46" s="23">
        <f t="shared" si="9"/>
        <v>3026</v>
      </c>
      <c r="AS46" s="23">
        <f t="shared" si="9"/>
        <v>2935</v>
      </c>
      <c r="AT46" s="23">
        <f t="shared" si="9"/>
        <v>2847</v>
      </c>
      <c r="AU46" s="23">
        <f t="shared" si="9"/>
        <v>2762</v>
      </c>
      <c r="AV46" s="23">
        <f t="shared" si="9"/>
        <v>2679</v>
      </c>
      <c r="AW46" s="23">
        <f t="shared" si="9"/>
        <v>2599</v>
      </c>
      <c r="AX46" s="23">
        <f t="shared" si="9"/>
        <v>2521</v>
      </c>
      <c r="AY46" s="23">
        <f t="shared" si="9"/>
        <v>2445</v>
      </c>
      <c r="AZ46" s="23">
        <f t="shared" si="9"/>
        <v>2372</v>
      </c>
      <c r="BA46" s="23">
        <f t="shared" si="9"/>
        <v>2301</v>
      </c>
      <c r="BB46" s="23">
        <f t="shared" si="9"/>
        <v>2232</v>
      </c>
      <c r="BC46" s="23">
        <f t="shared" si="9"/>
        <v>2165</v>
      </c>
      <c r="BD46" s="23">
        <f t="shared" si="9"/>
        <v>2100</v>
      </c>
      <c r="BE46" s="23">
        <f t="shared" si="9"/>
        <v>2037</v>
      </c>
      <c r="BF46" s="23">
        <f t="shared" si="9"/>
        <v>1976</v>
      </c>
      <c r="BG46" s="23">
        <f t="shared" si="9"/>
        <v>1917</v>
      </c>
      <c r="BH46" s="23">
        <f t="shared" si="9"/>
        <v>1859</v>
      </c>
      <c r="BI46" s="23">
        <f t="shared" si="9"/>
        <v>1803</v>
      </c>
      <c r="BJ46" s="23">
        <f t="shared" si="9"/>
        <v>1749</v>
      </c>
    </row>
    <row r="47" spans="1:68" x14ac:dyDescent="0.35">
      <c r="A47" s="15" t="s">
        <v>145</v>
      </c>
      <c r="B47" s="20" t="s">
        <v>116</v>
      </c>
      <c r="C47" s="23">
        <f t="shared" ref="C47:AH47" si="10">ROUND(C37*$C$40,0)</f>
        <v>37</v>
      </c>
      <c r="D47" s="23">
        <f t="shared" si="10"/>
        <v>39</v>
      </c>
      <c r="E47" s="23">
        <f t="shared" si="10"/>
        <v>41</v>
      </c>
      <c r="F47" s="23">
        <f t="shared" si="10"/>
        <v>44</v>
      </c>
      <c r="G47" s="23">
        <f t="shared" si="10"/>
        <v>47</v>
      </c>
      <c r="H47" s="23">
        <f t="shared" si="10"/>
        <v>50</v>
      </c>
      <c r="I47" s="23">
        <f t="shared" si="10"/>
        <v>53</v>
      </c>
      <c r="J47" s="23">
        <f t="shared" si="10"/>
        <v>56</v>
      </c>
      <c r="K47" s="23">
        <f t="shared" si="10"/>
        <v>59</v>
      </c>
      <c r="L47" s="23">
        <f t="shared" si="10"/>
        <v>63</v>
      </c>
      <c r="M47" s="23">
        <f t="shared" si="10"/>
        <v>68</v>
      </c>
      <c r="N47" s="23">
        <f t="shared" si="10"/>
        <v>72</v>
      </c>
      <c r="O47" s="23">
        <f t="shared" si="10"/>
        <v>76</v>
      </c>
      <c r="P47" s="23">
        <f t="shared" si="10"/>
        <v>81</v>
      </c>
      <c r="Q47" s="23">
        <f t="shared" si="10"/>
        <v>86</v>
      </c>
      <c r="R47" s="23">
        <f t="shared" si="10"/>
        <v>92</v>
      </c>
      <c r="S47" s="23">
        <f t="shared" si="10"/>
        <v>98</v>
      </c>
      <c r="T47" s="23">
        <f t="shared" si="10"/>
        <v>104</v>
      </c>
      <c r="U47" s="23">
        <f t="shared" si="10"/>
        <v>110</v>
      </c>
      <c r="V47" s="23">
        <f t="shared" si="10"/>
        <v>118</v>
      </c>
      <c r="W47" s="23">
        <f t="shared" si="10"/>
        <v>125</v>
      </c>
      <c r="X47" s="23">
        <f t="shared" si="10"/>
        <v>133</v>
      </c>
      <c r="Y47" s="23">
        <f t="shared" si="10"/>
        <v>143</v>
      </c>
      <c r="Z47" s="23">
        <f t="shared" si="10"/>
        <v>151</v>
      </c>
      <c r="AA47" s="23">
        <f t="shared" si="10"/>
        <v>161</v>
      </c>
      <c r="AB47" s="23">
        <f t="shared" si="10"/>
        <v>172</v>
      </c>
      <c r="AC47" s="23">
        <f t="shared" si="10"/>
        <v>183</v>
      </c>
      <c r="AD47" s="23">
        <f t="shared" si="10"/>
        <v>196</v>
      </c>
      <c r="AE47" s="23">
        <f t="shared" si="10"/>
        <v>209</v>
      </c>
      <c r="AF47" s="23">
        <f t="shared" si="10"/>
        <v>222</v>
      </c>
      <c r="AG47" s="23">
        <f t="shared" si="10"/>
        <v>238</v>
      </c>
      <c r="AH47" s="23">
        <f t="shared" si="10"/>
        <v>253</v>
      </c>
      <c r="AI47" s="23">
        <f t="shared" ref="AI47:BJ47" si="11">ROUND(AI37*$C$40,0)</f>
        <v>271</v>
      </c>
      <c r="AJ47" s="23">
        <f t="shared" si="11"/>
        <v>289</v>
      </c>
      <c r="AK47" s="23">
        <f t="shared" si="11"/>
        <v>308</v>
      </c>
      <c r="AL47" s="23">
        <f t="shared" si="11"/>
        <v>329</v>
      </c>
      <c r="AM47" s="23">
        <f t="shared" si="11"/>
        <v>0</v>
      </c>
      <c r="AN47" s="23">
        <f t="shared" si="11"/>
        <v>0</v>
      </c>
      <c r="AO47" s="23">
        <f t="shared" si="11"/>
        <v>0</v>
      </c>
      <c r="AP47" s="23">
        <f t="shared" si="11"/>
        <v>0</v>
      </c>
      <c r="AQ47" s="23">
        <f t="shared" si="11"/>
        <v>0</v>
      </c>
      <c r="AR47" s="23">
        <f t="shared" si="11"/>
        <v>0</v>
      </c>
      <c r="AS47" s="23">
        <f t="shared" si="11"/>
        <v>0</v>
      </c>
      <c r="AT47" s="23">
        <f t="shared" si="11"/>
        <v>0</v>
      </c>
      <c r="AU47" s="23">
        <f t="shared" si="11"/>
        <v>0</v>
      </c>
      <c r="AV47" s="23">
        <f t="shared" si="11"/>
        <v>0</v>
      </c>
      <c r="AW47" s="23">
        <f t="shared" si="11"/>
        <v>0</v>
      </c>
      <c r="AX47" s="23">
        <f t="shared" si="11"/>
        <v>0</v>
      </c>
      <c r="AY47" s="23">
        <f t="shared" si="11"/>
        <v>0</v>
      </c>
      <c r="AZ47" s="23">
        <f t="shared" si="11"/>
        <v>0</v>
      </c>
      <c r="BA47" s="23">
        <f t="shared" si="11"/>
        <v>0</v>
      </c>
      <c r="BB47" s="23">
        <f t="shared" si="11"/>
        <v>0</v>
      </c>
      <c r="BC47" s="23">
        <f t="shared" si="11"/>
        <v>0</v>
      </c>
      <c r="BD47" s="23">
        <f t="shared" si="11"/>
        <v>0</v>
      </c>
      <c r="BE47" s="23">
        <f t="shared" si="11"/>
        <v>0</v>
      </c>
      <c r="BF47" s="23">
        <f t="shared" si="11"/>
        <v>0</v>
      </c>
      <c r="BG47" s="23">
        <f t="shared" si="11"/>
        <v>0</v>
      </c>
      <c r="BH47" s="23">
        <f t="shared" si="11"/>
        <v>0</v>
      </c>
      <c r="BI47" s="23">
        <f t="shared" si="11"/>
        <v>0</v>
      </c>
      <c r="BJ47" s="23">
        <f t="shared" si="11"/>
        <v>0</v>
      </c>
      <c r="BK47" s="23">
        <f>SUMPRODUCT((YEAR(EDATE(Controls!$B$6,COLUMN($C$1:$BJ$1)-COLUMN($C$1)))=YEAR(Controls!$B$6)+0)*(COLUMN($C$1:$BJ$1)-COLUMN($C$1)&lt;Controls!$B$7)*$C$47:$BJ$47)</f>
        <v>629</v>
      </c>
      <c r="BL47" s="23">
        <f>SUMPRODUCT((YEAR(EDATE(Controls!$B$6,COLUMN($C$1:$BJ$1)-COLUMN($C$1)))=YEAR(Controls!$B$6)+1)*(COLUMN($C$1:$BJ$1)-COLUMN($C$1)&lt;Controls!$B$7)*$C$47:$BJ$47)</f>
        <v>1317</v>
      </c>
      <c r="BM47" s="23">
        <f>SUMPRODUCT((YEAR(EDATE(Controls!$B$6,COLUMN($C$1:$BJ$1)-COLUMN($C$1)))=YEAR(Controls!$B$6)+2)*(COLUMN($C$1:$BJ$1)-COLUMN($C$1)&lt;Controls!$B$7)*$C$47:$BJ$47)</f>
        <v>2831</v>
      </c>
      <c r="BN47" s="23">
        <f>SUMPRODUCT((YEAR(EDATE(Controls!$B$6,COLUMN($C$1:$BJ$1)-COLUMN($C$1)))=YEAR(Controls!$B$6)+3)*(COLUMN($C$1:$BJ$1)-COLUMN($C$1)&lt;Controls!$B$7)*$C$47:$BJ$47)</f>
        <v>0</v>
      </c>
      <c r="BO47" s="23">
        <f>SUMPRODUCT((YEAR(EDATE(Controls!$B$6,COLUMN($C$1:$BJ$1)-COLUMN($C$1)))=YEAR(Controls!$B$6)+4)*(COLUMN($C$1:$BJ$1)-COLUMN($C$1)&lt;Controls!$B$7)*$C$47:$BJ$47)</f>
        <v>0</v>
      </c>
      <c r="BP47" s="23">
        <f>SUMPRODUCT((YEAR(EDATE(Controls!$B$6,COLUMN($C$1:$BJ$1)-COLUMN($C$1)))=YEAR(Controls!$B$6)+5)*(COLUMN($C$1:$BJ$1)-COLUMN($C$1)&lt;Controls!$B$7)*$C$47:$BJ$47)</f>
        <v>0</v>
      </c>
    </row>
    <row r="48" spans="1:68" x14ac:dyDescent="0.35">
      <c r="A48" s="15" t="s">
        <v>146</v>
      </c>
      <c r="B48" s="20" t="s">
        <v>116</v>
      </c>
      <c r="C48" s="23">
        <f>-ROUND(C46*$C$50*IF(Controls!$B$12="Upside",Controls!$B$15,IF(Controls!$B$12="Downside",Controls!$B$16,1)),0)</f>
        <v>0</v>
      </c>
      <c r="D48" s="23">
        <f>-ROUND(D46*$C$50*IF(Controls!$B$12="Upside",Controls!$B$15,IF(Controls!$B$12="Downside",Controls!$B$16,1)),0)</f>
        <v>-1</v>
      </c>
      <c r="E48" s="23">
        <f>-ROUND(E46*$C$50*IF(Controls!$B$12="Upside",Controls!$B$15,IF(Controls!$B$12="Downside",Controls!$B$16,1)),0)</f>
        <v>-2</v>
      </c>
      <c r="F48" s="23">
        <f>-ROUND(F46*$C$50*IF(Controls!$B$12="Upside",Controls!$B$15,IF(Controls!$B$12="Downside",Controls!$B$16,1)),0)</f>
        <v>-4</v>
      </c>
      <c r="G48" s="23">
        <f>-ROUND(G46*$C$50*IF(Controls!$B$12="Upside",Controls!$B$15,IF(Controls!$B$12="Downside",Controls!$B$16,1)),0)</f>
        <v>-5</v>
      </c>
      <c r="H48" s="23">
        <f>-ROUND(H46*$C$50*IF(Controls!$B$12="Upside",Controls!$B$15,IF(Controls!$B$12="Downside",Controls!$B$16,1)),0)</f>
        <v>-6</v>
      </c>
      <c r="I48" s="23">
        <f>-ROUND(I46*$C$50*IF(Controls!$B$12="Upside",Controls!$B$15,IF(Controls!$B$12="Downside",Controls!$B$16,1)),0)</f>
        <v>-7</v>
      </c>
      <c r="J48" s="23">
        <f>-ROUND(J46*$C$50*IF(Controls!$B$12="Upside",Controls!$B$15,IF(Controls!$B$12="Downside",Controls!$B$16,1)),0)</f>
        <v>-9</v>
      </c>
      <c r="K48" s="23">
        <f>-ROUND(K46*$C$50*IF(Controls!$B$12="Upside",Controls!$B$15,IF(Controls!$B$12="Downside",Controls!$B$16,1)),0)</f>
        <v>-10</v>
      </c>
      <c r="L48" s="23">
        <f>-ROUND(L46*$C$50*IF(Controls!$B$12="Upside",Controls!$B$15,IF(Controls!$B$12="Downside",Controls!$B$16,1)),0)</f>
        <v>-12</v>
      </c>
      <c r="M48" s="23">
        <f>-ROUND(M46*$C$50*IF(Controls!$B$12="Upside",Controls!$B$15,IF(Controls!$B$12="Downside",Controls!$B$16,1)),0)</f>
        <v>-13</v>
      </c>
      <c r="N48" s="23">
        <f>-ROUND(N46*$C$50*IF(Controls!$B$12="Upside",Controls!$B$15,IF(Controls!$B$12="Downside",Controls!$B$16,1)),0)</f>
        <v>-15</v>
      </c>
      <c r="O48" s="23">
        <f>-ROUND(O46*$C$50*IF(Controls!$B$12="Upside",Controls!$B$15,IF(Controls!$B$12="Downside",Controls!$B$16,1)),0)</f>
        <v>-17</v>
      </c>
      <c r="P48" s="23">
        <f>-ROUND(P46*$C$50*IF(Controls!$B$12="Upside",Controls!$B$15,IF(Controls!$B$12="Downside",Controls!$B$16,1)),0)</f>
        <v>-18</v>
      </c>
      <c r="Q48" s="23">
        <f>-ROUND(Q46*$C$50*IF(Controls!$B$12="Upside",Controls!$B$15,IF(Controls!$B$12="Downside",Controls!$B$16,1)),0)</f>
        <v>-20</v>
      </c>
      <c r="R48" s="23">
        <f>-ROUND(R46*$C$50*IF(Controls!$B$12="Upside",Controls!$B$15,IF(Controls!$B$12="Downside",Controls!$B$16,1)),0)</f>
        <v>-22</v>
      </c>
      <c r="S48" s="23">
        <f>-ROUND(S46*$C$50*IF(Controls!$B$12="Upside",Controls!$B$15,IF(Controls!$B$12="Downside",Controls!$B$16,1)),0)</f>
        <v>-24</v>
      </c>
      <c r="T48" s="23">
        <f>-ROUND(T46*$C$50*IF(Controls!$B$12="Upside",Controls!$B$15,IF(Controls!$B$12="Downside",Controls!$B$16,1)),0)</f>
        <v>-26</v>
      </c>
      <c r="U48" s="23">
        <f>-ROUND(U46*$C$50*IF(Controls!$B$12="Upside",Controls!$B$15,IF(Controls!$B$12="Downside",Controls!$B$16,1)),0)</f>
        <v>-29</v>
      </c>
      <c r="V48" s="23">
        <f>-ROUND(V46*$C$50*IF(Controls!$B$12="Upside",Controls!$B$15,IF(Controls!$B$12="Downside",Controls!$B$16,1)),0)</f>
        <v>-31</v>
      </c>
      <c r="W48" s="23">
        <f>-ROUND(W46*$C$50*IF(Controls!$B$12="Upside",Controls!$B$15,IF(Controls!$B$12="Downside",Controls!$B$16,1)),0)</f>
        <v>-34</v>
      </c>
      <c r="X48" s="23">
        <f>-ROUND(X46*$C$50*IF(Controls!$B$12="Upside",Controls!$B$15,IF(Controls!$B$12="Downside",Controls!$B$16,1)),0)</f>
        <v>-37</v>
      </c>
      <c r="Y48" s="23">
        <f>-ROUND(Y46*$C$50*IF(Controls!$B$12="Upside",Controls!$B$15,IF(Controls!$B$12="Downside",Controls!$B$16,1)),0)</f>
        <v>-39</v>
      </c>
      <c r="Z48" s="23">
        <f>-ROUND(Z46*$C$50*IF(Controls!$B$12="Upside",Controls!$B$15,IF(Controls!$B$12="Downside",Controls!$B$16,1)),0)</f>
        <v>-43</v>
      </c>
      <c r="AA48" s="23">
        <f>-ROUND(AA46*$C$50*IF(Controls!$B$12="Upside",Controls!$B$15,IF(Controls!$B$12="Downside",Controls!$B$16,1)),0)</f>
        <v>-46</v>
      </c>
      <c r="AB48" s="23">
        <f>-ROUND(AB46*$C$50*IF(Controls!$B$12="Upside",Controls!$B$15,IF(Controls!$B$12="Downside",Controls!$B$16,1)),0)</f>
        <v>-49</v>
      </c>
      <c r="AC48" s="23">
        <f>-ROUND(AC46*$C$50*IF(Controls!$B$12="Upside",Controls!$B$15,IF(Controls!$B$12="Downside",Controls!$B$16,1)),0)</f>
        <v>-53</v>
      </c>
      <c r="AD48" s="23">
        <f>-ROUND(AD46*$C$50*IF(Controls!$B$12="Upside",Controls!$B$15,IF(Controls!$B$12="Downside",Controls!$B$16,1)),0)</f>
        <v>-57</v>
      </c>
      <c r="AE48" s="23">
        <f>-ROUND(AE46*$C$50*IF(Controls!$B$12="Upside",Controls!$B$15,IF(Controls!$B$12="Downside",Controls!$B$16,1)),0)</f>
        <v>-61</v>
      </c>
      <c r="AF48" s="23">
        <f>-ROUND(AF46*$C$50*IF(Controls!$B$12="Upside",Controls!$B$15,IF(Controls!$B$12="Downside",Controls!$B$16,1)),0)</f>
        <v>-65</v>
      </c>
      <c r="AG48" s="23">
        <f>-ROUND(AG46*$C$50*IF(Controls!$B$12="Upside",Controls!$B$15,IF(Controls!$B$12="Downside",Controls!$B$16,1)),0)</f>
        <v>-70</v>
      </c>
      <c r="AH48" s="23">
        <f>-ROUND(AH46*$C$50*IF(Controls!$B$12="Upside",Controls!$B$15,IF(Controls!$B$12="Downside",Controls!$B$16,1)),0)</f>
        <v>-75</v>
      </c>
      <c r="AI48" s="23">
        <f>-ROUND(AI46*$C$50*IF(Controls!$B$12="Upside",Controls!$B$15,IF(Controls!$B$12="Downside",Controls!$B$16,1)),0)</f>
        <v>-81</v>
      </c>
      <c r="AJ48" s="23">
        <f>-ROUND(AJ46*$C$50*IF(Controls!$B$12="Upside",Controls!$B$15,IF(Controls!$B$12="Downside",Controls!$B$16,1)),0)</f>
        <v>-86</v>
      </c>
      <c r="AK48" s="23">
        <f>-ROUND(AK46*$C$50*IF(Controls!$B$12="Upside",Controls!$B$15,IF(Controls!$B$12="Downside",Controls!$B$16,1)),0)</f>
        <v>-92</v>
      </c>
      <c r="AL48" s="23">
        <f>-ROUND(AL46*$C$50*IF(Controls!$B$12="Upside",Controls!$B$15,IF(Controls!$B$12="Downside",Controls!$B$16,1)),0)</f>
        <v>-99</v>
      </c>
      <c r="AM48" s="23">
        <f>-ROUND(AM46*$C$50*IF(Controls!$B$12="Upside",Controls!$B$15,IF(Controls!$B$12="Downside",Controls!$B$16,1)),0)</f>
        <v>-106</v>
      </c>
      <c r="AN48" s="23">
        <f>-ROUND(AN46*$C$50*IF(Controls!$B$12="Upside",Controls!$B$15,IF(Controls!$B$12="Downside",Controls!$B$16,1)),0)</f>
        <v>-103</v>
      </c>
      <c r="AO48" s="23">
        <f>-ROUND(AO46*$C$50*IF(Controls!$B$12="Upside",Controls!$B$15,IF(Controls!$B$12="Downside",Controls!$B$16,1)),0)</f>
        <v>-99</v>
      </c>
      <c r="AP48" s="23">
        <f>-ROUND(AP46*$C$50*IF(Controls!$B$12="Upside",Controls!$B$15,IF(Controls!$B$12="Downside",Controls!$B$16,1)),0)</f>
        <v>-96</v>
      </c>
      <c r="AQ48" s="23">
        <f>-ROUND(AQ46*$C$50*IF(Controls!$B$12="Upside",Controls!$B$15,IF(Controls!$B$12="Downside",Controls!$B$16,1)),0)</f>
        <v>-94</v>
      </c>
      <c r="AR48" s="23">
        <f>-ROUND(AR46*$C$50*IF(Controls!$B$12="Upside",Controls!$B$15,IF(Controls!$B$12="Downside",Controls!$B$16,1)),0)</f>
        <v>-91</v>
      </c>
      <c r="AS48" s="23">
        <f>-ROUND(AS46*$C$50*IF(Controls!$B$12="Upside",Controls!$B$15,IF(Controls!$B$12="Downside",Controls!$B$16,1)),0)</f>
        <v>-88</v>
      </c>
      <c r="AT48" s="23">
        <f>-ROUND(AT46*$C$50*IF(Controls!$B$12="Upside",Controls!$B$15,IF(Controls!$B$12="Downside",Controls!$B$16,1)),0)</f>
        <v>-85</v>
      </c>
      <c r="AU48" s="23">
        <f>-ROUND(AU46*$C$50*IF(Controls!$B$12="Upside",Controls!$B$15,IF(Controls!$B$12="Downside",Controls!$B$16,1)),0)</f>
        <v>-83</v>
      </c>
      <c r="AV48" s="23">
        <f>-ROUND(AV46*$C$50*IF(Controls!$B$12="Upside",Controls!$B$15,IF(Controls!$B$12="Downside",Controls!$B$16,1)),0)</f>
        <v>-80</v>
      </c>
      <c r="AW48" s="23">
        <f>-ROUND(AW46*$C$50*IF(Controls!$B$12="Upside",Controls!$B$15,IF(Controls!$B$12="Downside",Controls!$B$16,1)),0)</f>
        <v>-78</v>
      </c>
      <c r="AX48" s="23">
        <f>-ROUND(AX46*$C$50*IF(Controls!$B$12="Upside",Controls!$B$15,IF(Controls!$B$12="Downside",Controls!$B$16,1)),0)</f>
        <v>-76</v>
      </c>
      <c r="AY48" s="23">
        <f>-ROUND(AY46*$C$50*IF(Controls!$B$12="Upside",Controls!$B$15,IF(Controls!$B$12="Downside",Controls!$B$16,1)),0)</f>
        <v>-73</v>
      </c>
      <c r="AZ48" s="23">
        <f>-ROUND(AZ46*$C$50*IF(Controls!$B$12="Upside",Controls!$B$15,IF(Controls!$B$12="Downside",Controls!$B$16,1)),0)</f>
        <v>-71</v>
      </c>
      <c r="BA48" s="23">
        <f>-ROUND(BA46*$C$50*IF(Controls!$B$12="Upside",Controls!$B$15,IF(Controls!$B$12="Downside",Controls!$B$16,1)),0)</f>
        <v>-69</v>
      </c>
      <c r="BB48" s="23">
        <f>-ROUND(BB46*$C$50*IF(Controls!$B$12="Upside",Controls!$B$15,IF(Controls!$B$12="Downside",Controls!$B$16,1)),0)</f>
        <v>-67</v>
      </c>
      <c r="BC48" s="23">
        <f>-ROUND(BC46*$C$50*IF(Controls!$B$12="Upside",Controls!$B$15,IF(Controls!$B$12="Downside",Controls!$B$16,1)),0)</f>
        <v>-65</v>
      </c>
      <c r="BD48" s="23">
        <f>-ROUND(BD46*$C$50*IF(Controls!$B$12="Upside",Controls!$B$15,IF(Controls!$B$12="Downside",Controls!$B$16,1)),0)</f>
        <v>-63</v>
      </c>
      <c r="BE48" s="23">
        <f>-ROUND(BE46*$C$50*IF(Controls!$B$12="Upside",Controls!$B$15,IF(Controls!$B$12="Downside",Controls!$B$16,1)),0)</f>
        <v>-61</v>
      </c>
      <c r="BF48" s="23">
        <f>-ROUND(BF46*$C$50*IF(Controls!$B$12="Upside",Controls!$B$15,IF(Controls!$B$12="Downside",Controls!$B$16,1)),0)</f>
        <v>-59</v>
      </c>
      <c r="BG48" s="23">
        <f>-ROUND(BG46*$C$50*IF(Controls!$B$12="Upside",Controls!$B$15,IF(Controls!$B$12="Downside",Controls!$B$16,1)),0)</f>
        <v>-58</v>
      </c>
      <c r="BH48" s="23">
        <f>-ROUND(BH46*$C$50*IF(Controls!$B$12="Upside",Controls!$B$15,IF(Controls!$B$12="Downside",Controls!$B$16,1)),0)</f>
        <v>-56</v>
      </c>
      <c r="BI48" s="23">
        <f>-ROUND(BI46*$C$50*IF(Controls!$B$12="Upside",Controls!$B$15,IF(Controls!$B$12="Downside",Controls!$B$16,1)),0)</f>
        <v>-54</v>
      </c>
      <c r="BJ48" s="23">
        <f>-ROUND(BJ46*$C$50*IF(Controls!$B$12="Upside",Controls!$B$15,IF(Controls!$B$12="Downside",Controls!$B$16,1)),0)</f>
        <v>-52</v>
      </c>
      <c r="BK48" s="23">
        <f>SUMPRODUCT((YEAR(EDATE(Controls!$B$6,COLUMN($C$1:$BJ$1)-COLUMN($C$1)))=YEAR(Controls!$B$6)+0)*(COLUMN($C$1:$BJ$1)-COLUMN($C$1)&lt;Controls!$B$7)*$C$48:$BJ$48)</f>
        <v>-84</v>
      </c>
      <c r="BL48" s="23">
        <f>SUMPRODUCT((YEAR(EDATE(Controls!$B$6,COLUMN($C$1:$BJ$1)-COLUMN($C$1)))=YEAR(Controls!$B$6)+1)*(COLUMN($C$1:$BJ$1)-COLUMN($C$1)&lt;Controls!$B$7)*$C$48:$BJ$48)</f>
        <v>-340</v>
      </c>
      <c r="BM48" s="23">
        <f>SUMPRODUCT((YEAR(EDATE(Controls!$B$6,COLUMN($C$1:$BJ$1)-COLUMN($C$1)))=YEAR(Controls!$B$6)+2)*(COLUMN($C$1:$BJ$1)-COLUMN($C$1)&lt;Controls!$B$7)*$C$48:$BJ$48)</f>
        <v>-834</v>
      </c>
      <c r="BN48" s="23">
        <f>SUMPRODUCT((YEAR(EDATE(Controls!$B$6,COLUMN($C$1:$BJ$1)-COLUMN($C$1)))=YEAR(Controls!$B$6)+3)*(COLUMN($C$1:$BJ$1)-COLUMN($C$1)&lt;Controls!$B$7)*$C$48:$BJ$48)</f>
        <v>0</v>
      </c>
      <c r="BO48" s="23">
        <f>SUMPRODUCT((YEAR(EDATE(Controls!$B$6,COLUMN($C$1:$BJ$1)-COLUMN($C$1)))=YEAR(Controls!$B$6)+4)*(COLUMN($C$1:$BJ$1)-COLUMN($C$1)&lt;Controls!$B$7)*$C$48:$BJ$48)</f>
        <v>0</v>
      </c>
      <c r="BP48" s="23">
        <f>SUMPRODUCT((YEAR(EDATE(Controls!$B$6,COLUMN($C$1:$BJ$1)-COLUMN($C$1)))=YEAR(Controls!$B$6)+5)*(COLUMN($C$1:$BJ$1)-COLUMN($C$1)&lt;Controls!$B$7)*$C$48:$BJ$48)</f>
        <v>0</v>
      </c>
    </row>
    <row r="49" spans="1:68" x14ac:dyDescent="0.35">
      <c r="A49" s="6" t="s">
        <v>147</v>
      </c>
      <c r="B49" s="20" t="s">
        <v>116</v>
      </c>
      <c r="C49" s="23">
        <f t="shared" ref="C49:AH49" si="12">C46+C47+C48</f>
        <v>42</v>
      </c>
      <c r="D49" s="23">
        <f t="shared" si="12"/>
        <v>80</v>
      </c>
      <c r="E49" s="23">
        <f t="shared" si="12"/>
        <v>119</v>
      </c>
      <c r="F49" s="23">
        <f t="shared" si="12"/>
        <v>159</v>
      </c>
      <c r="G49" s="23">
        <f t="shared" si="12"/>
        <v>201</v>
      </c>
      <c r="H49" s="23">
        <f t="shared" si="12"/>
        <v>245</v>
      </c>
      <c r="I49" s="23">
        <f t="shared" si="12"/>
        <v>291</v>
      </c>
      <c r="J49" s="23">
        <f t="shared" si="12"/>
        <v>338</v>
      </c>
      <c r="K49" s="23">
        <f t="shared" si="12"/>
        <v>387</v>
      </c>
      <c r="L49" s="23">
        <f t="shared" si="12"/>
        <v>438</v>
      </c>
      <c r="M49" s="23">
        <f t="shared" si="12"/>
        <v>493</v>
      </c>
      <c r="N49" s="23">
        <f t="shared" si="12"/>
        <v>550</v>
      </c>
      <c r="O49" s="23">
        <f t="shared" si="12"/>
        <v>609</v>
      </c>
      <c r="P49" s="23">
        <f t="shared" si="12"/>
        <v>672</v>
      </c>
      <c r="Q49" s="23">
        <f t="shared" si="12"/>
        <v>738</v>
      </c>
      <c r="R49" s="23">
        <f t="shared" si="12"/>
        <v>808</v>
      </c>
      <c r="S49" s="23">
        <f t="shared" si="12"/>
        <v>882</v>
      </c>
      <c r="T49" s="23">
        <f t="shared" si="12"/>
        <v>960</v>
      </c>
      <c r="U49" s="23">
        <f t="shared" si="12"/>
        <v>1041</v>
      </c>
      <c r="V49" s="23">
        <f t="shared" si="12"/>
        <v>1128</v>
      </c>
      <c r="W49" s="23">
        <f t="shared" si="12"/>
        <v>1219</v>
      </c>
      <c r="X49" s="23">
        <f t="shared" si="12"/>
        <v>1315</v>
      </c>
      <c r="Y49" s="23">
        <f t="shared" si="12"/>
        <v>1419</v>
      </c>
      <c r="Z49" s="23">
        <f t="shared" si="12"/>
        <v>1527</v>
      </c>
      <c r="AA49" s="23">
        <f t="shared" si="12"/>
        <v>1642</v>
      </c>
      <c r="AB49" s="23">
        <f t="shared" si="12"/>
        <v>1765</v>
      </c>
      <c r="AC49" s="23">
        <f t="shared" si="12"/>
        <v>1895</v>
      </c>
      <c r="AD49" s="23">
        <f t="shared" si="12"/>
        <v>2034</v>
      </c>
      <c r="AE49" s="23">
        <f t="shared" si="12"/>
        <v>2182</v>
      </c>
      <c r="AF49" s="23">
        <f t="shared" si="12"/>
        <v>2339</v>
      </c>
      <c r="AG49" s="23">
        <f t="shared" si="12"/>
        <v>2507</v>
      </c>
      <c r="AH49" s="23">
        <f t="shared" si="12"/>
        <v>2685</v>
      </c>
      <c r="AI49" s="23">
        <f t="shared" ref="AI49:BJ49" si="13">AI46+AI47+AI48</f>
        <v>2875</v>
      </c>
      <c r="AJ49" s="23">
        <f t="shared" si="13"/>
        <v>3078</v>
      </c>
      <c r="AK49" s="23">
        <f t="shared" si="13"/>
        <v>3294</v>
      </c>
      <c r="AL49" s="23">
        <f t="shared" si="13"/>
        <v>3524</v>
      </c>
      <c r="AM49" s="23">
        <f t="shared" si="13"/>
        <v>3418</v>
      </c>
      <c r="AN49" s="23">
        <f t="shared" si="13"/>
        <v>3315</v>
      </c>
      <c r="AO49" s="23">
        <f t="shared" si="13"/>
        <v>3216</v>
      </c>
      <c r="AP49" s="23">
        <f t="shared" si="13"/>
        <v>3120</v>
      </c>
      <c r="AQ49" s="23">
        <f t="shared" si="13"/>
        <v>3026</v>
      </c>
      <c r="AR49" s="23">
        <f t="shared" si="13"/>
        <v>2935</v>
      </c>
      <c r="AS49" s="23">
        <f t="shared" si="13"/>
        <v>2847</v>
      </c>
      <c r="AT49" s="23">
        <f t="shared" si="13"/>
        <v>2762</v>
      </c>
      <c r="AU49" s="23">
        <f t="shared" si="13"/>
        <v>2679</v>
      </c>
      <c r="AV49" s="23">
        <f t="shared" si="13"/>
        <v>2599</v>
      </c>
      <c r="AW49" s="23">
        <f t="shared" si="13"/>
        <v>2521</v>
      </c>
      <c r="AX49" s="23">
        <f t="shared" si="13"/>
        <v>2445</v>
      </c>
      <c r="AY49" s="23">
        <f t="shared" si="13"/>
        <v>2372</v>
      </c>
      <c r="AZ49" s="23">
        <f t="shared" si="13"/>
        <v>2301</v>
      </c>
      <c r="BA49" s="23">
        <f t="shared" si="13"/>
        <v>2232</v>
      </c>
      <c r="BB49" s="23">
        <f t="shared" si="13"/>
        <v>2165</v>
      </c>
      <c r="BC49" s="23">
        <f t="shared" si="13"/>
        <v>2100</v>
      </c>
      <c r="BD49" s="23">
        <f t="shared" si="13"/>
        <v>2037</v>
      </c>
      <c r="BE49" s="23">
        <f t="shared" si="13"/>
        <v>1976</v>
      </c>
      <c r="BF49" s="23">
        <f t="shared" si="13"/>
        <v>1917</v>
      </c>
      <c r="BG49" s="23">
        <f t="shared" si="13"/>
        <v>1859</v>
      </c>
      <c r="BH49" s="23">
        <f t="shared" si="13"/>
        <v>1803</v>
      </c>
      <c r="BI49" s="23">
        <f t="shared" si="13"/>
        <v>1749</v>
      </c>
      <c r="BJ49" s="23">
        <f t="shared" si="13"/>
        <v>1697</v>
      </c>
      <c r="BK49" s="23">
        <f>IFERROR(LOOKUP(2,1/((YEAR(EDATE(Controls!$B$6,COLUMN($C$1:$BJ$1)-COLUMN($C$1)))=YEAR(Controls!$B$6)+0)*(COLUMN($C$1:$BJ$1)-COLUMN($C$1)&lt;Controls!$B$7)),$C$49:$BJ$49),0)</f>
        <v>550</v>
      </c>
      <c r="BL49" s="23">
        <f>IFERROR(LOOKUP(2,1/((YEAR(EDATE(Controls!$B$6,COLUMN($C$1:$BJ$1)-COLUMN($C$1)))=YEAR(Controls!$B$6)+1)*(COLUMN($C$1:$BJ$1)-COLUMN($C$1)&lt;Controls!$B$7)),$C$49:$BJ$49),0)</f>
        <v>1527</v>
      </c>
      <c r="BM49" s="23">
        <f>IFERROR(LOOKUP(2,1/((YEAR(EDATE(Controls!$B$6,COLUMN($C$1:$BJ$1)-COLUMN($C$1)))=YEAR(Controls!$B$6)+2)*(COLUMN($C$1:$BJ$1)-COLUMN($C$1)&lt;Controls!$B$7)),$C$49:$BJ$49),0)</f>
        <v>3524</v>
      </c>
      <c r="BN49" s="23">
        <f>IFERROR(LOOKUP(2,1/((YEAR(EDATE(Controls!$B$6,COLUMN($C$1:$BJ$1)-COLUMN($C$1)))=YEAR(Controls!$B$6)+3)*(COLUMN($C$1:$BJ$1)-COLUMN($C$1)&lt;Controls!$B$7)),$C$49:$BJ$49),0)</f>
        <v>0</v>
      </c>
      <c r="BO49" s="23">
        <f>IFERROR(LOOKUP(2,1/((YEAR(EDATE(Controls!$B$6,COLUMN($C$1:$BJ$1)-COLUMN($C$1)))=YEAR(Controls!$B$6)+4)*(COLUMN($C$1:$BJ$1)-COLUMN($C$1)&lt;Controls!$B$7)),$C$49:$BJ$49),0)</f>
        <v>0</v>
      </c>
      <c r="BP49" s="23">
        <f>IFERROR(LOOKUP(2,1/((YEAR(EDATE(Controls!$B$6,COLUMN($C$1:$BJ$1)-COLUMN($C$1)))=YEAR(Controls!$B$6)+5)*(COLUMN($C$1:$BJ$1)-COLUMN($C$1)&lt;Controls!$B$7)),$C$49:$BJ$49),0)</f>
        <v>0</v>
      </c>
    </row>
    <row r="50" spans="1:68" x14ac:dyDescent="0.35">
      <c r="A50" s="25" t="s">
        <v>148</v>
      </c>
      <c r="B50" s="20" t="s">
        <v>149</v>
      </c>
      <c r="C50" s="28">
        <v>0.03</v>
      </c>
    </row>
    <row r="52" spans="1:68" ht="18" customHeight="1" x14ac:dyDescent="0.35">
      <c r="A52" s="58" t="s">
        <v>150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</row>
    <row r="53" spans="1:68" x14ac:dyDescent="0.35">
      <c r="A53" s="15" t="s">
        <v>151</v>
      </c>
      <c r="B53" s="20" t="s">
        <v>116</v>
      </c>
      <c r="C53" s="23">
        <f>2</f>
        <v>2</v>
      </c>
      <c r="D53" s="23">
        <f t="shared" ref="D53:AI53" si="14">C56</f>
        <v>21</v>
      </c>
      <c r="E53" s="23">
        <f t="shared" si="14"/>
        <v>41</v>
      </c>
      <c r="F53" s="23">
        <f t="shared" si="14"/>
        <v>61</v>
      </c>
      <c r="G53" s="23">
        <f t="shared" si="14"/>
        <v>82</v>
      </c>
      <c r="H53" s="23">
        <f t="shared" si="14"/>
        <v>104</v>
      </c>
      <c r="I53" s="23">
        <f t="shared" si="14"/>
        <v>127</v>
      </c>
      <c r="J53" s="23">
        <f t="shared" si="14"/>
        <v>150</v>
      </c>
      <c r="K53" s="23">
        <f t="shared" si="14"/>
        <v>175</v>
      </c>
      <c r="L53" s="23">
        <f t="shared" si="14"/>
        <v>201</v>
      </c>
      <c r="M53" s="23">
        <f t="shared" si="14"/>
        <v>229</v>
      </c>
      <c r="N53" s="23">
        <f t="shared" si="14"/>
        <v>258</v>
      </c>
      <c r="O53" s="23">
        <f t="shared" si="14"/>
        <v>289</v>
      </c>
      <c r="P53" s="23">
        <f t="shared" si="14"/>
        <v>321</v>
      </c>
      <c r="Q53" s="23">
        <f t="shared" si="14"/>
        <v>356</v>
      </c>
      <c r="R53" s="23">
        <f t="shared" si="14"/>
        <v>392</v>
      </c>
      <c r="S53" s="23">
        <f t="shared" si="14"/>
        <v>430</v>
      </c>
      <c r="T53" s="23">
        <f t="shared" si="14"/>
        <v>470</v>
      </c>
      <c r="U53" s="23">
        <f t="shared" si="14"/>
        <v>513</v>
      </c>
      <c r="V53" s="23">
        <f t="shared" si="14"/>
        <v>558</v>
      </c>
      <c r="W53" s="23">
        <f t="shared" si="14"/>
        <v>606</v>
      </c>
      <c r="X53" s="23">
        <f t="shared" si="14"/>
        <v>657</v>
      </c>
      <c r="Y53" s="23">
        <f t="shared" si="14"/>
        <v>711</v>
      </c>
      <c r="Z53" s="23">
        <f t="shared" si="14"/>
        <v>768</v>
      </c>
      <c r="AA53" s="23">
        <f t="shared" si="14"/>
        <v>829</v>
      </c>
      <c r="AB53" s="23">
        <f t="shared" si="14"/>
        <v>893</v>
      </c>
      <c r="AC53" s="23">
        <f t="shared" si="14"/>
        <v>961</v>
      </c>
      <c r="AD53" s="23">
        <f t="shared" si="14"/>
        <v>1034</v>
      </c>
      <c r="AE53" s="23">
        <f t="shared" si="14"/>
        <v>1111</v>
      </c>
      <c r="AF53" s="23">
        <f t="shared" si="14"/>
        <v>1193</v>
      </c>
      <c r="AG53" s="23">
        <f t="shared" si="14"/>
        <v>1280</v>
      </c>
      <c r="AH53" s="23">
        <f t="shared" si="14"/>
        <v>1373</v>
      </c>
      <c r="AI53" s="23">
        <f t="shared" si="14"/>
        <v>1473</v>
      </c>
      <c r="AJ53" s="23">
        <f t="shared" ref="AJ53:BJ53" si="15">AI56</f>
        <v>1579</v>
      </c>
      <c r="AK53" s="23">
        <f t="shared" si="15"/>
        <v>1691</v>
      </c>
      <c r="AL53" s="23">
        <f t="shared" si="15"/>
        <v>1811</v>
      </c>
      <c r="AM53" s="23">
        <f t="shared" si="15"/>
        <v>1939</v>
      </c>
      <c r="AN53" s="23">
        <f t="shared" si="15"/>
        <v>1900</v>
      </c>
      <c r="AO53" s="23">
        <f t="shared" si="15"/>
        <v>1862</v>
      </c>
      <c r="AP53" s="23">
        <f t="shared" si="15"/>
        <v>1825</v>
      </c>
      <c r="AQ53" s="23">
        <f t="shared" si="15"/>
        <v>1788</v>
      </c>
      <c r="AR53" s="23">
        <f t="shared" si="15"/>
        <v>1752</v>
      </c>
      <c r="AS53" s="23">
        <f t="shared" si="15"/>
        <v>1717</v>
      </c>
      <c r="AT53" s="23">
        <f t="shared" si="15"/>
        <v>1683</v>
      </c>
      <c r="AU53" s="23">
        <f t="shared" si="15"/>
        <v>1649</v>
      </c>
      <c r="AV53" s="23">
        <f t="shared" si="15"/>
        <v>1616</v>
      </c>
      <c r="AW53" s="23">
        <f t="shared" si="15"/>
        <v>1584</v>
      </c>
      <c r="AX53" s="23">
        <f t="shared" si="15"/>
        <v>1552</v>
      </c>
      <c r="AY53" s="23">
        <f t="shared" si="15"/>
        <v>1521</v>
      </c>
      <c r="AZ53" s="23">
        <f t="shared" si="15"/>
        <v>1491</v>
      </c>
      <c r="BA53" s="23">
        <f t="shared" si="15"/>
        <v>1461</v>
      </c>
      <c r="BB53" s="23">
        <f t="shared" si="15"/>
        <v>1432</v>
      </c>
      <c r="BC53" s="23">
        <f t="shared" si="15"/>
        <v>1403</v>
      </c>
      <c r="BD53" s="23">
        <f t="shared" si="15"/>
        <v>1375</v>
      </c>
      <c r="BE53" s="23">
        <f t="shared" si="15"/>
        <v>1347</v>
      </c>
      <c r="BF53" s="23">
        <f t="shared" si="15"/>
        <v>1320</v>
      </c>
      <c r="BG53" s="23">
        <f t="shared" si="15"/>
        <v>1294</v>
      </c>
      <c r="BH53" s="23">
        <f t="shared" si="15"/>
        <v>1268</v>
      </c>
      <c r="BI53" s="23">
        <f t="shared" si="15"/>
        <v>1243</v>
      </c>
      <c r="BJ53" s="23">
        <f t="shared" si="15"/>
        <v>1218</v>
      </c>
    </row>
    <row r="54" spans="1:68" x14ac:dyDescent="0.35">
      <c r="A54" s="15" t="s">
        <v>152</v>
      </c>
      <c r="B54" s="20" t="s">
        <v>116</v>
      </c>
      <c r="C54" s="23">
        <f t="shared" ref="C54:AH54" si="16">ROUND(C37*$C$41,0)</f>
        <v>19</v>
      </c>
      <c r="D54" s="23">
        <f t="shared" si="16"/>
        <v>20</v>
      </c>
      <c r="E54" s="23">
        <f t="shared" si="16"/>
        <v>21</v>
      </c>
      <c r="F54" s="23">
        <f t="shared" si="16"/>
        <v>22</v>
      </c>
      <c r="G54" s="23">
        <f t="shared" si="16"/>
        <v>24</v>
      </c>
      <c r="H54" s="23">
        <f t="shared" si="16"/>
        <v>25</v>
      </c>
      <c r="I54" s="23">
        <f t="shared" si="16"/>
        <v>26</v>
      </c>
      <c r="J54" s="23">
        <f t="shared" si="16"/>
        <v>28</v>
      </c>
      <c r="K54" s="23">
        <f t="shared" si="16"/>
        <v>30</v>
      </c>
      <c r="L54" s="23">
        <f t="shared" si="16"/>
        <v>32</v>
      </c>
      <c r="M54" s="23">
        <f t="shared" si="16"/>
        <v>34</v>
      </c>
      <c r="N54" s="23">
        <f t="shared" si="16"/>
        <v>36</v>
      </c>
      <c r="O54" s="23">
        <f t="shared" si="16"/>
        <v>38</v>
      </c>
      <c r="P54" s="23">
        <f t="shared" si="16"/>
        <v>41</v>
      </c>
      <c r="Q54" s="23">
        <f t="shared" si="16"/>
        <v>43</v>
      </c>
      <c r="R54" s="23">
        <f t="shared" si="16"/>
        <v>46</v>
      </c>
      <c r="S54" s="23">
        <f t="shared" si="16"/>
        <v>49</v>
      </c>
      <c r="T54" s="23">
        <f t="shared" si="16"/>
        <v>52</v>
      </c>
      <c r="U54" s="23">
        <f t="shared" si="16"/>
        <v>55</v>
      </c>
      <c r="V54" s="23">
        <f t="shared" si="16"/>
        <v>59</v>
      </c>
      <c r="W54" s="23">
        <f t="shared" si="16"/>
        <v>63</v>
      </c>
      <c r="X54" s="23">
        <f t="shared" si="16"/>
        <v>67</v>
      </c>
      <c r="Y54" s="23">
        <f t="shared" si="16"/>
        <v>71</v>
      </c>
      <c r="Z54" s="23">
        <f t="shared" si="16"/>
        <v>76</v>
      </c>
      <c r="AA54" s="23">
        <f t="shared" si="16"/>
        <v>81</v>
      </c>
      <c r="AB54" s="23">
        <f t="shared" si="16"/>
        <v>86</v>
      </c>
      <c r="AC54" s="23">
        <f t="shared" si="16"/>
        <v>92</v>
      </c>
      <c r="AD54" s="23">
        <f t="shared" si="16"/>
        <v>98</v>
      </c>
      <c r="AE54" s="23">
        <f t="shared" si="16"/>
        <v>104</v>
      </c>
      <c r="AF54" s="23">
        <f t="shared" si="16"/>
        <v>111</v>
      </c>
      <c r="AG54" s="23">
        <f t="shared" si="16"/>
        <v>119</v>
      </c>
      <c r="AH54" s="23">
        <f t="shared" si="16"/>
        <v>127</v>
      </c>
      <c r="AI54" s="23">
        <f t="shared" ref="AI54:BJ54" si="17">ROUND(AI37*$C$41,0)</f>
        <v>135</v>
      </c>
      <c r="AJ54" s="23">
        <f t="shared" si="17"/>
        <v>144</v>
      </c>
      <c r="AK54" s="23">
        <f t="shared" si="17"/>
        <v>154</v>
      </c>
      <c r="AL54" s="23">
        <f t="shared" si="17"/>
        <v>164</v>
      </c>
      <c r="AM54" s="23">
        <f t="shared" si="17"/>
        <v>0</v>
      </c>
      <c r="AN54" s="23">
        <f t="shared" si="17"/>
        <v>0</v>
      </c>
      <c r="AO54" s="23">
        <f t="shared" si="17"/>
        <v>0</v>
      </c>
      <c r="AP54" s="23">
        <f t="shared" si="17"/>
        <v>0</v>
      </c>
      <c r="AQ54" s="23">
        <f t="shared" si="17"/>
        <v>0</v>
      </c>
      <c r="AR54" s="23">
        <f t="shared" si="17"/>
        <v>0</v>
      </c>
      <c r="AS54" s="23">
        <f t="shared" si="17"/>
        <v>0</v>
      </c>
      <c r="AT54" s="23">
        <f t="shared" si="17"/>
        <v>0</v>
      </c>
      <c r="AU54" s="23">
        <f t="shared" si="17"/>
        <v>0</v>
      </c>
      <c r="AV54" s="23">
        <f t="shared" si="17"/>
        <v>0</v>
      </c>
      <c r="AW54" s="23">
        <f t="shared" si="17"/>
        <v>0</v>
      </c>
      <c r="AX54" s="23">
        <f t="shared" si="17"/>
        <v>0</v>
      </c>
      <c r="AY54" s="23">
        <f t="shared" si="17"/>
        <v>0</v>
      </c>
      <c r="AZ54" s="23">
        <f t="shared" si="17"/>
        <v>0</v>
      </c>
      <c r="BA54" s="23">
        <f t="shared" si="17"/>
        <v>0</v>
      </c>
      <c r="BB54" s="23">
        <f t="shared" si="17"/>
        <v>0</v>
      </c>
      <c r="BC54" s="23">
        <f t="shared" si="17"/>
        <v>0</v>
      </c>
      <c r="BD54" s="23">
        <f t="shared" si="17"/>
        <v>0</v>
      </c>
      <c r="BE54" s="23">
        <f t="shared" si="17"/>
        <v>0</v>
      </c>
      <c r="BF54" s="23">
        <f t="shared" si="17"/>
        <v>0</v>
      </c>
      <c r="BG54" s="23">
        <f t="shared" si="17"/>
        <v>0</v>
      </c>
      <c r="BH54" s="23">
        <f t="shared" si="17"/>
        <v>0</v>
      </c>
      <c r="BI54" s="23">
        <f t="shared" si="17"/>
        <v>0</v>
      </c>
      <c r="BJ54" s="23">
        <f t="shared" si="17"/>
        <v>0</v>
      </c>
      <c r="BK54" s="23">
        <f>SUMPRODUCT((YEAR(EDATE(Controls!$B$6,COLUMN($C$1:$BJ$1)-COLUMN($C$1)))=YEAR(Controls!$B$6)+0)*(COLUMN($C$1:$BJ$1)-COLUMN($C$1)&lt;Controls!$B$7)*$C$54:$BJ$54)</f>
        <v>317</v>
      </c>
      <c r="BL54" s="23">
        <f>SUMPRODUCT((YEAR(EDATE(Controls!$B$6,COLUMN($C$1:$BJ$1)-COLUMN($C$1)))=YEAR(Controls!$B$6)+1)*(COLUMN($C$1:$BJ$1)-COLUMN($C$1)&lt;Controls!$B$7)*$C$54:$BJ$54)</f>
        <v>660</v>
      </c>
      <c r="BM54" s="23">
        <f>SUMPRODUCT((YEAR(EDATE(Controls!$B$6,COLUMN($C$1:$BJ$1)-COLUMN($C$1)))=YEAR(Controls!$B$6)+2)*(COLUMN($C$1:$BJ$1)-COLUMN($C$1)&lt;Controls!$B$7)*$C$54:$BJ$54)</f>
        <v>1415</v>
      </c>
      <c r="BN54" s="23">
        <f>SUMPRODUCT((YEAR(EDATE(Controls!$B$6,COLUMN($C$1:$BJ$1)-COLUMN($C$1)))=YEAR(Controls!$B$6)+3)*(COLUMN($C$1:$BJ$1)-COLUMN($C$1)&lt;Controls!$B$7)*$C$54:$BJ$54)</f>
        <v>0</v>
      </c>
      <c r="BO54" s="23">
        <f>SUMPRODUCT((YEAR(EDATE(Controls!$B$6,COLUMN($C$1:$BJ$1)-COLUMN($C$1)))=YEAR(Controls!$B$6)+4)*(COLUMN($C$1:$BJ$1)-COLUMN($C$1)&lt;Controls!$B$7)*$C$54:$BJ$54)</f>
        <v>0</v>
      </c>
      <c r="BP54" s="23">
        <f>SUMPRODUCT((YEAR(EDATE(Controls!$B$6,COLUMN($C$1:$BJ$1)-COLUMN($C$1)))=YEAR(Controls!$B$6)+5)*(COLUMN($C$1:$BJ$1)-COLUMN($C$1)&lt;Controls!$B$7)*$C$54:$BJ$54)</f>
        <v>0</v>
      </c>
    </row>
    <row r="55" spans="1:68" x14ac:dyDescent="0.35">
      <c r="A55" s="15" t="s">
        <v>153</v>
      </c>
      <c r="B55" s="20" t="s">
        <v>116</v>
      </c>
      <c r="C55" s="23">
        <f>-ROUND(C53*$C$57*IF(Controls!$B$12="Upside",Controls!$B$15,IF(Controls!$B$12="Downside",Controls!$B$16,1)),0)</f>
        <v>0</v>
      </c>
      <c r="D55" s="23">
        <f>-ROUND(D53*$C$57*IF(Controls!$B$12="Upside",Controls!$B$15,IF(Controls!$B$12="Downside",Controls!$B$16,1)),0)</f>
        <v>0</v>
      </c>
      <c r="E55" s="23">
        <f>-ROUND(E53*$C$57*IF(Controls!$B$12="Upside",Controls!$B$15,IF(Controls!$B$12="Downside",Controls!$B$16,1)),0)</f>
        <v>-1</v>
      </c>
      <c r="F55" s="23">
        <f>-ROUND(F53*$C$57*IF(Controls!$B$12="Upside",Controls!$B$15,IF(Controls!$B$12="Downside",Controls!$B$16,1)),0)</f>
        <v>-1</v>
      </c>
      <c r="G55" s="23">
        <f>-ROUND(G53*$C$57*IF(Controls!$B$12="Upside",Controls!$B$15,IF(Controls!$B$12="Downside",Controls!$B$16,1)),0)</f>
        <v>-2</v>
      </c>
      <c r="H55" s="23">
        <f>-ROUND(H53*$C$57*IF(Controls!$B$12="Upside",Controls!$B$15,IF(Controls!$B$12="Downside",Controls!$B$16,1)),0)</f>
        <v>-2</v>
      </c>
      <c r="I55" s="23">
        <f>-ROUND(I53*$C$57*IF(Controls!$B$12="Upside",Controls!$B$15,IF(Controls!$B$12="Downside",Controls!$B$16,1)),0)</f>
        <v>-3</v>
      </c>
      <c r="J55" s="23">
        <f>-ROUND(J53*$C$57*IF(Controls!$B$12="Upside",Controls!$B$15,IF(Controls!$B$12="Downside",Controls!$B$16,1)),0)</f>
        <v>-3</v>
      </c>
      <c r="K55" s="23">
        <f>-ROUND(K53*$C$57*IF(Controls!$B$12="Upside",Controls!$B$15,IF(Controls!$B$12="Downside",Controls!$B$16,1)),0)</f>
        <v>-4</v>
      </c>
      <c r="L55" s="23">
        <f>-ROUND(L53*$C$57*IF(Controls!$B$12="Upside",Controls!$B$15,IF(Controls!$B$12="Downside",Controls!$B$16,1)),0)</f>
        <v>-4</v>
      </c>
      <c r="M55" s="23">
        <f>-ROUND(M53*$C$57*IF(Controls!$B$12="Upside",Controls!$B$15,IF(Controls!$B$12="Downside",Controls!$B$16,1)),0)</f>
        <v>-5</v>
      </c>
      <c r="N55" s="23">
        <f>-ROUND(N53*$C$57*IF(Controls!$B$12="Upside",Controls!$B$15,IF(Controls!$B$12="Downside",Controls!$B$16,1)),0)</f>
        <v>-5</v>
      </c>
      <c r="O55" s="23">
        <f>-ROUND(O53*$C$57*IF(Controls!$B$12="Upside",Controls!$B$15,IF(Controls!$B$12="Downside",Controls!$B$16,1)),0)</f>
        <v>-6</v>
      </c>
      <c r="P55" s="23">
        <f>-ROUND(P53*$C$57*IF(Controls!$B$12="Upside",Controls!$B$15,IF(Controls!$B$12="Downside",Controls!$B$16,1)),0)</f>
        <v>-6</v>
      </c>
      <c r="Q55" s="23">
        <f>-ROUND(Q53*$C$57*IF(Controls!$B$12="Upside",Controls!$B$15,IF(Controls!$B$12="Downside",Controls!$B$16,1)),0)</f>
        <v>-7</v>
      </c>
      <c r="R55" s="23">
        <f>-ROUND(R53*$C$57*IF(Controls!$B$12="Upside",Controls!$B$15,IF(Controls!$B$12="Downside",Controls!$B$16,1)),0)</f>
        <v>-8</v>
      </c>
      <c r="S55" s="23">
        <f>-ROUND(S53*$C$57*IF(Controls!$B$12="Upside",Controls!$B$15,IF(Controls!$B$12="Downside",Controls!$B$16,1)),0)</f>
        <v>-9</v>
      </c>
      <c r="T55" s="23">
        <f>-ROUND(T53*$C$57*IF(Controls!$B$12="Upside",Controls!$B$15,IF(Controls!$B$12="Downside",Controls!$B$16,1)),0)</f>
        <v>-9</v>
      </c>
      <c r="U55" s="23">
        <f>-ROUND(U53*$C$57*IF(Controls!$B$12="Upside",Controls!$B$15,IF(Controls!$B$12="Downside",Controls!$B$16,1)),0)</f>
        <v>-10</v>
      </c>
      <c r="V55" s="23">
        <f>-ROUND(V53*$C$57*IF(Controls!$B$12="Upside",Controls!$B$15,IF(Controls!$B$12="Downside",Controls!$B$16,1)),0)</f>
        <v>-11</v>
      </c>
      <c r="W55" s="23">
        <f>-ROUND(W53*$C$57*IF(Controls!$B$12="Upside",Controls!$B$15,IF(Controls!$B$12="Downside",Controls!$B$16,1)),0)</f>
        <v>-12</v>
      </c>
      <c r="X55" s="23">
        <f>-ROUND(X53*$C$57*IF(Controls!$B$12="Upside",Controls!$B$15,IF(Controls!$B$12="Downside",Controls!$B$16,1)),0)</f>
        <v>-13</v>
      </c>
      <c r="Y55" s="23">
        <f>-ROUND(Y53*$C$57*IF(Controls!$B$12="Upside",Controls!$B$15,IF(Controls!$B$12="Downside",Controls!$B$16,1)),0)</f>
        <v>-14</v>
      </c>
      <c r="Z55" s="23">
        <f>-ROUND(Z53*$C$57*IF(Controls!$B$12="Upside",Controls!$B$15,IF(Controls!$B$12="Downside",Controls!$B$16,1)),0)</f>
        <v>-15</v>
      </c>
      <c r="AA55" s="23">
        <f>-ROUND(AA53*$C$57*IF(Controls!$B$12="Upside",Controls!$B$15,IF(Controls!$B$12="Downside",Controls!$B$16,1)),0)</f>
        <v>-17</v>
      </c>
      <c r="AB55" s="23">
        <f>-ROUND(AB53*$C$57*IF(Controls!$B$12="Upside",Controls!$B$15,IF(Controls!$B$12="Downside",Controls!$B$16,1)),0)</f>
        <v>-18</v>
      </c>
      <c r="AC55" s="23">
        <f>-ROUND(AC53*$C$57*IF(Controls!$B$12="Upside",Controls!$B$15,IF(Controls!$B$12="Downside",Controls!$B$16,1)),0)</f>
        <v>-19</v>
      </c>
      <c r="AD55" s="23">
        <f>-ROUND(AD53*$C$57*IF(Controls!$B$12="Upside",Controls!$B$15,IF(Controls!$B$12="Downside",Controls!$B$16,1)),0)</f>
        <v>-21</v>
      </c>
      <c r="AE55" s="23">
        <f>-ROUND(AE53*$C$57*IF(Controls!$B$12="Upside",Controls!$B$15,IF(Controls!$B$12="Downside",Controls!$B$16,1)),0)</f>
        <v>-22</v>
      </c>
      <c r="AF55" s="23">
        <f>-ROUND(AF53*$C$57*IF(Controls!$B$12="Upside",Controls!$B$15,IF(Controls!$B$12="Downside",Controls!$B$16,1)),0)</f>
        <v>-24</v>
      </c>
      <c r="AG55" s="23">
        <f>-ROUND(AG53*$C$57*IF(Controls!$B$12="Upside",Controls!$B$15,IF(Controls!$B$12="Downside",Controls!$B$16,1)),0)</f>
        <v>-26</v>
      </c>
      <c r="AH55" s="23">
        <f>-ROUND(AH53*$C$57*IF(Controls!$B$12="Upside",Controls!$B$15,IF(Controls!$B$12="Downside",Controls!$B$16,1)),0)</f>
        <v>-27</v>
      </c>
      <c r="AI55" s="23">
        <f>-ROUND(AI53*$C$57*IF(Controls!$B$12="Upside",Controls!$B$15,IF(Controls!$B$12="Downside",Controls!$B$16,1)),0)</f>
        <v>-29</v>
      </c>
      <c r="AJ55" s="23">
        <f>-ROUND(AJ53*$C$57*IF(Controls!$B$12="Upside",Controls!$B$15,IF(Controls!$B$12="Downside",Controls!$B$16,1)),0)</f>
        <v>-32</v>
      </c>
      <c r="AK55" s="23">
        <f>-ROUND(AK53*$C$57*IF(Controls!$B$12="Upside",Controls!$B$15,IF(Controls!$B$12="Downside",Controls!$B$16,1)),0)</f>
        <v>-34</v>
      </c>
      <c r="AL55" s="23">
        <f>-ROUND(AL53*$C$57*IF(Controls!$B$12="Upside",Controls!$B$15,IF(Controls!$B$12="Downside",Controls!$B$16,1)),0)</f>
        <v>-36</v>
      </c>
      <c r="AM55" s="23">
        <f>-ROUND(AM53*$C$57*IF(Controls!$B$12="Upside",Controls!$B$15,IF(Controls!$B$12="Downside",Controls!$B$16,1)),0)</f>
        <v>-39</v>
      </c>
      <c r="AN55" s="23">
        <f>-ROUND(AN53*$C$57*IF(Controls!$B$12="Upside",Controls!$B$15,IF(Controls!$B$12="Downside",Controls!$B$16,1)),0)</f>
        <v>-38</v>
      </c>
      <c r="AO55" s="23">
        <f>-ROUND(AO53*$C$57*IF(Controls!$B$12="Upside",Controls!$B$15,IF(Controls!$B$12="Downside",Controls!$B$16,1)),0)</f>
        <v>-37</v>
      </c>
      <c r="AP55" s="23">
        <f>-ROUND(AP53*$C$57*IF(Controls!$B$12="Upside",Controls!$B$15,IF(Controls!$B$12="Downside",Controls!$B$16,1)),0)</f>
        <v>-37</v>
      </c>
      <c r="AQ55" s="23">
        <f>-ROUND(AQ53*$C$57*IF(Controls!$B$12="Upside",Controls!$B$15,IF(Controls!$B$12="Downside",Controls!$B$16,1)),0)</f>
        <v>-36</v>
      </c>
      <c r="AR55" s="23">
        <f>-ROUND(AR53*$C$57*IF(Controls!$B$12="Upside",Controls!$B$15,IF(Controls!$B$12="Downside",Controls!$B$16,1)),0)</f>
        <v>-35</v>
      </c>
      <c r="AS55" s="23">
        <f>-ROUND(AS53*$C$57*IF(Controls!$B$12="Upside",Controls!$B$15,IF(Controls!$B$12="Downside",Controls!$B$16,1)),0)</f>
        <v>-34</v>
      </c>
      <c r="AT55" s="23">
        <f>-ROUND(AT53*$C$57*IF(Controls!$B$12="Upside",Controls!$B$15,IF(Controls!$B$12="Downside",Controls!$B$16,1)),0)</f>
        <v>-34</v>
      </c>
      <c r="AU55" s="23">
        <f>-ROUND(AU53*$C$57*IF(Controls!$B$12="Upside",Controls!$B$15,IF(Controls!$B$12="Downside",Controls!$B$16,1)),0)</f>
        <v>-33</v>
      </c>
      <c r="AV55" s="23">
        <f>-ROUND(AV53*$C$57*IF(Controls!$B$12="Upside",Controls!$B$15,IF(Controls!$B$12="Downside",Controls!$B$16,1)),0)</f>
        <v>-32</v>
      </c>
      <c r="AW55" s="23">
        <f>-ROUND(AW53*$C$57*IF(Controls!$B$12="Upside",Controls!$B$15,IF(Controls!$B$12="Downside",Controls!$B$16,1)),0)</f>
        <v>-32</v>
      </c>
      <c r="AX55" s="23">
        <f>-ROUND(AX53*$C$57*IF(Controls!$B$12="Upside",Controls!$B$15,IF(Controls!$B$12="Downside",Controls!$B$16,1)),0)</f>
        <v>-31</v>
      </c>
      <c r="AY55" s="23">
        <f>-ROUND(AY53*$C$57*IF(Controls!$B$12="Upside",Controls!$B$15,IF(Controls!$B$12="Downside",Controls!$B$16,1)),0)</f>
        <v>-30</v>
      </c>
      <c r="AZ55" s="23">
        <f>-ROUND(AZ53*$C$57*IF(Controls!$B$12="Upside",Controls!$B$15,IF(Controls!$B$12="Downside",Controls!$B$16,1)),0)</f>
        <v>-30</v>
      </c>
      <c r="BA55" s="23">
        <f>-ROUND(BA53*$C$57*IF(Controls!$B$12="Upside",Controls!$B$15,IF(Controls!$B$12="Downside",Controls!$B$16,1)),0)</f>
        <v>-29</v>
      </c>
      <c r="BB55" s="23">
        <f>-ROUND(BB53*$C$57*IF(Controls!$B$12="Upside",Controls!$B$15,IF(Controls!$B$12="Downside",Controls!$B$16,1)),0)</f>
        <v>-29</v>
      </c>
      <c r="BC55" s="23">
        <f>-ROUND(BC53*$C$57*IF(Controls!$B$12="Upside",Controls!$B$15,IF(Controls!$B$12="Downside",Controls!$B$16,1)),0)</f>
        <v>-28</v>
      </c>
      <c r="BD55" s="23">
        <f>-ROUND(BD53*$C$57*IF(Controls!$B$12="Upside",Controls!$B$15,IF(Controls!$B$12="Downside",Controls!$B$16,1)),0)</f>
        <v>-28</v>
      </c>
      <c r="BE55" s="23">
        <f>-ROUND(BE53*$C$57*IF(Controls!$B$12="Upside",Controls!$B$15,IF(Controls!$B$12="Downside",Controls!$B$16,1)),0)</f>
        <v>-27</v>
      </c>
      <c r="BF55" s="23">
        <f>-ROUND(BF53*$C$57*IF(Controls!$B$12="Upside",Controls!$B$15,IF(Controls!$B$12="Downside",Controls!$B$16,1)),0)</f>
        <v>-26</v>
      </c>
      <c r="BG55" s="23">
        <f>-ROUND(BG53*$C$57*IF(Controls!$B$12="Upside",Controls!$B$15,IF(Controls!$B$12="Downside",Controls!$B$16,1)),0)</f>
        <v>-26</v>
      </c>
      <c r="BH55" s="23">
        <f>-ROUND(BH53*$C$57*IF(Controls!$B$12="Upside",Controls!$B$15,IF(Controls!$B$12="Downside",Controls!$B$16,1)),0)</f>
        <v>-25</v>
      </c>
      <c r="BI55" s="23">
        <f>-ROUND(BI53*$C$57*IF(Controls!$B$12="Upside",Controls!$B$15,IF(Controls!$B$12="Downside",Controls!$B$16,1)),0)</f>
        <v>-25</v>
      </c>
      <c r="BJ55" s="23">
        <f>-ROUND(BJ53*$C$57*IF(Controls!$B$12="Upside",Controls!$B$15,IF(Controls!$B$12="Downside",Controls!$B$16,1)),0)</f>
        <v>-24</v>
      </c>
      <c r="BK55" s="23">
        <f>SUMPRODUCT((YEAR(EDATE(Controls!$B$6,COLUMN($C$1:$BJ$1)-COLUMN($C$1)))=YEAR(Controls!$B$6)+0)*(COLUMN($C$1:$BJ$1)-COLUMN($C$1)&lt;Controls!$B$7)*$C$55:$BJ$55)</f>
        <v>-30</v>
      </c>
      <c r="BL55" s="23">
        <f>SUMPRODUCT((YEAR(EDATE(Controls!$B$6,COLUMN($C$1:$BJ$1)-COLUMN($C$1)))=YEAR(Controls!$B$6)+1)*(COLUMN($C$1:$BJ$1)-COLUMN($C$1)&lt;Controls!$B$7)*$C$55:$BJ$55)</f>
        <v>-120</v>
      </c>
      <c r="BM55" s="23">
        <f>SUMPRODUCT((YEAR(EDATE(Controls!$B$6,COLUMN($C$1:$BJ$1)-COLUMN($C$1)))=YEAR(Controls!$B$6)+2)*(COLUMN($C$1:$BJ$1)-COLUMN($C$1)&lt;Controls!$B$7)*$C$55:$BJ$55)</f>
        <v>-305</v>
      </c>
      <c r="BN55" s="23">
        <f>SUMPRODUCT((YEAR(EDATE(Controls!$B$6,COLUMN($C$1:$BJ$1)-COLUMN($C$1)))=YEAR(Controls!$B$6)+3)*(COLUMN($C$1:$BJ$1)-COLUMN($C$1)&lt;Controls!$B$7)*$C$55:$BJ$55)</f>
        <v>0</v>
      </c>
      <c r="BO55" s="23">
        <f>SUMPRODUCT((YEAR(EDATE(Controls!$B$6,COLUMN($C$1:$BJ$1)-COLUMN($C$1)))=YEAR(Controls!$B$6)+4)*(COLUMN($C$1:$BJ$1)-COLUMN($C$1)&lt;Controls!$B$7)*$C$55:$BJ$55)</f>
        <v>0</v>
      </c>
      <c r="BP55" s="23">
        <f>SUMPRODUCT((YEAR(EDATE(Controls!$B$6,COLUMN($C$1:$BJ$1)-COLUMN($C$1)))=YEAR(Controls!$B$6)+5)*(COLUMN($C$1:$BJ$1)-COLUMN($C$1)&lt;Controls!$B$7)*$C$55:$BJ$55)</f>
        <v>0</v>
      </c>
    </row>
    <row r="56" spans="1:68" x14ac:dyDescent="0.35">
      <c r="A56" s="6" t="s">
        <v>154</v>
      </c>
      <c r="B56" s="20" t="s">
        <v>116</v>
      </c>
      <c r="C56" s="23">
        <f t="shared" ref="C56:AH56" si="18">C53+C54+C55</f>
        <v>21</v>
      </c>
      <c r="D56" s="23">
        <f t="shared" si="18"/>
        <v>41</v>
      </c>
      <c r="E56" s="23">
        <f t="shared" si="18"/>
        <v>61</v>
      </c>
      <c r="F56" s="23">
        <f t="shared" si="18"/>
        <v>82</v>
      </c>
      <c r="G56" s="23">
        <f t="shared" si="18"/>
        <v>104</v>
      </c>
      <c r="H56" s="23">
        <f t="shared" si="18"/>
        <v>127</v>
      </c>
      <c r="I56" s="23">
        <f t="shared" si="18"/>
        <v>150</v>
      </c>
      <c r="J56" s="23">
        <f t="shared" si="18"/>
        <v>175</v>
      </c>
      <c r="K56" s="23">
        <f t="shared" si="18"/>
        <v>201</v>
      </c>
      <c r="L56" s="23">
        <f t="shared" si="18"/>
        <v>229</v>
      </c>
      <c r="M56" s="23">
        <f t="shared" si="18"/>
        <v>258</v>
      </c>
      <c r="N56" s="23">
        <f t="shared" si="18"/>
        <v>289</v>
      </c>
      <c r="O56" s="23">
        <f t="shared" si="18"/>
        <v>321</v>
      </c>
      <c r="P56" s="23">
        <f t="shared" si="18"/>
        <v>356</v>
      </c>
      <c r="Q56" s="23">
        <f t="shared" si="18"/>
        <v>392</v>
      </c>
      <c r="R56" s="23">
        <f t="shared" si="18"/>
        <v>430</v>
      </c>
      <c r="S56" s="23">
        <f t="shared" si="18"/>
        <v>470</v>
      </c>
      <c r="T56" s="23">
        <f t="shared" si="18"/>
        <v>513</v>
      </c>
      <c r="U56" s="23">
        <f t="shared" si="18"/>
        <v>558</v>
      </c>
      <c r="V56" s="23">
        <f t="shared" si="18"/>
        <v>606</v>
      </c>
      <c r="W56" s="23">
        <f t="shared" si="18"/>
        <v>657</v>
      </c>
      <c r="X56" s="23">
        <f t="shared" si="18"/>
        <v>711</v>
      </c>
      <c r="Y56" s="23">
        <f t="shared" si="18"/>
        <v>768</v>
      </c>
      <c r="Z56" s="23">
        <f t="shared" si="18"/>
        <v>829</v>
      </c>
      <c r="AA56" s="23">
        <f t="shared" si="18"/>
        <v>893</v>
      </c>
      <c r="AB56" s="23">
        <f t="shared" si="18"/>
        <v>961</v>
      </c>
      <c r="AC56" s="23">
        <f t="shared" si="18"/>
        <v>1034</v>
      </c>
      <c r="AD56" s="23">
        <f t="shared" si="18"/>
        <v>1111</v>
      </c>
      <c r="AE56" s="23">
        <f t="shared" si="18"/>
        <v>1193</v>
      </c>
      <c r="AF56" s="23">
        <f t="shared" si="18"/>
        <v>1280</v>
      </c>
      <c r="AG56" s="23">
        <f t="shared" si="18"/>
        <v>1373</v>
      </c>
      <c r="AH56" s="23">
        <f t="shared" si="18"/>
        <v>1473</v>
      </c>
      <c r="AI56" s="23">
        <f t="shared" ref="AI56:BJ56" si="19">AI53+AI54+AI55</f>
        <v>1579</v>
      </c>
      <c r="AJ56" s="23">
        <f t="shared" si="19"/>
        <v>1691</v>
      </c>
      <c r="AK56" s="23">
        <f t="shared" si="19"/>
        <v>1811</v>
      </c>
      <c r="AL56" s="23">
        <f t="shared" si="19"/>
        <v>1939</v>
      </c>
      <c r="AM56" s="23">
        <f t="shared" si="19"/>
        <v>1900</v>
      </c>
      <c r="AN56" s="23">
        <f t="shared" si="19"/>
        <v>1862</v>
      </c>
      <c r="AO56" s="23">
        <f t="shared" si="19"/>
        <v>1825</v>
      </c>
      <c r="AP56" s="23">
        <f t="shared" si="19"/>
        <v>1788</v>
      </c>
      <c r="AQ56" s="23">
        <f t="shared" si="19"/>
        <v>1752</v>
      </c>
      <c r="AR56" s="23">
        <f t="shared" si="19"/>
        <v>1717</v>
      </c>
      <c r="AS56" s="23">
        <f t="shared" si="19"/>
        <v>1683</v>
      </c>
      <c r="AT56" s="23">
        <f t="shared" si="19"/>
        <v>1649</v>
      </c>
      <c r="AU56" s="23">
        <f t="shared" si="19"/>
        <v>1616</v>
      </c>
      <c r="AV56" s="23">
        <f t="shared" si="19"/>
        <v>1584</v>
      </c>
      <c r="AW56" s="23">
        <f t="shared" si="19"/>
        <v>1552</v>
      </c>
      <c r="AX56" s="23">
        <f t="shared" si="19"/>
        <v>1521</v>
      </c>
      <c r="AY56" s="23">
        <f t="shared" si="19"/>
        <v>1491</v>
      </c>
      <c r="AZ56" s="23">
        <f t="shared" si="19"/>
        <v>1461</v>
      </c>
      <c r="BA56" s="23">
        <f t="shared" si="19"/>
        <v>1432</v>
      </c>
      <c r="BB56" s="23">
        <f t="shared" si="19"/>
        <v>1403</v>
      </c>
      <c r="BC56" s="23">
        <f t="shared" si="19"/>
        <v>1375</v>
      </c>
      <c r="BD56" s="23">
        <f t="shared" si="19"/>
        <v>1347</v>
      </c>
      <c r="BE56" s="23">
        <f t="shared" si="19"/>
        <v>1320</v>
      </c>
      <c r="BF56" s="23">
        <f t="shared" si="19"/>
        <v>1294</v>
      </c>
      <c r="BG56" s="23">
        <f t="shared" si="19"/>
        <v>1268</v>
      </c>
      <c r="BH56" s="23">
        <f t="shared" si="19"/>
        <v>1243</v>
      </c>
      <c r="BI56" s="23">
        <f t="shared" si="19"/>
        <v>1218</v>
      </c>
      <c r="BJ56" s="23">
        <f t="shared" si="19"/>
        <v>1194</v>
      </c>
      <c r="BK56" s="23">
        <f>IFERROR(LOOKUP(2,1/((YEAR(EDATE(Controls!$B$6,COLUMN($C$1:$BJ$1)-COLUMN($C$1)))=YEAR(Controls!$B$6)+0)*(COLUMN($C$1:$BJ$1)-COLUMN($C$1)&lt;Controls!$B$7)),$C$56:$BJ$56),0)</f>
        <v>289</v>
      </c>
      <c r="BL56" s="23">
        <f>IFERROR(LOOKUP(2,1/((YEAR(EDATE(Controls!$B$6,COLUMN($C$1:$BJ$1)-COLUMN($C$1)))=YEAR(Controls!$B$6)+1)*(COLUMN($C$1:$BJ$1)-COLUMN($C$1)&lt;Controls!$B$7)),$C$56:$BJ$56),0)</f>
        <v>829</v>
      </c>
      <c r="BM56" s="23">
        <f>IFERROR(LOOKUP(2,1/((YEAR(EDATE(Controls!$B$6,COLUMN($C$1:$BJ$1)-COLUMN($C$1)))=YEAR(Controls!$B$6)+2)*(COLUMN($C$1:$BJ$1)-COLUMN($C$1)&lt;Controls!$B$7)),$C$56:$BJ$56),0)</f>
        <v>1939</v>
      </c>
      <c r="BN56" s="23">
        <f>IFERROR(LOOKUP(2,1/((YEAR(EDATE(Controls!$B$6,COLUMN($C$1:$BJ$1)-COLUMN($C$1)))=YEAR(Controls!$B$6)+3)*(COLUMN($C$1:$BJ$1)-COLUMN($C$1)&lt;Controls!$B$7)),$C$56:$BJ$56),0)</f>
        <v>0</v>
      </c>
      <c r="BO56" s="23">
        <f>IFERROR(LOOKUP(2,1/((YEAR(EDATE(Controls!$B$6,COLUMN($C$1:$BJ$1)-COLUMN($C$1)))=YEAR(Controls!$B$6)+4)*(COLUMN($C$1:$BJ$1)-COLUMN($C$1)&lt;Controls!$B$7)),$C$56:$BJ$56),0)</f>
        <v>0</v>
      </c>
      <c r="BP56" s="23">
        <f>IFERROR(LOOKUP(2,1/((YEAR(EDATE(Controls!$B$6,COLUMN($C$1:$BJ$1)-COLUMN($C$1)))=YEAR(Controls!$B$6)+5)*(COLUMN($C$1:$BJ$1)-COLUMN($C$1)&lt;Controls!$B$7)),$C$56:$BJ$56),0)</f>
        <v>0</v>
      </c>
    </row>
    <row r="57" spans="1:68" x14ac:dyDescent="0.35">
      <c r="A57" s="25" t="s">
        <v>155</v>
      </c>
      <c r="B57" s="20" t="s">
        <v>149</v>
      </c>
      <c r="C57" s="28">
        <v>0.02</v>
      </c>
    </row>
    <row r="59" spans="1:68" ht="18" customHeight="1" x14ac:dyDescent="0.35">
      <c r="A59" s="58" t="s">
        <v>156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</row>
    <row r="60" spans="1:68" x14ac:dyDescent="0.35">
      <c r="A60" s="15" t="s">
        <v>157</v>
      </c>
      <c r="B60" s="20" t="s">
        <v>116</v>
      </c>
      <c r="C60" s="23">
        <f>1</f>
        <v>1</v>
      </c>
      <c r="D60" s="23">
        <f t="shared" ref="D60:AI60" si="20">C63</f>
        <v>7</v>
      </c>
      <c r="E60" s="23">
        <f t="shared" si="20"/>
        <v>14</v>
      </c>
      <c r="F60" s="23">
        <f t="shared" si="20"/>
        <v>21</v>
      </c>
      <c r="G60" s="23">
        <f t="shared" si="20"/>
        <v>28</v>
      </c>
      <c r="H60" s="23">
        <f t="shared" si="20"/>
        <v>36</v>
      </c>
      <c r="I60" s="23">
        <f t="shared" si="20"/>
        <v>44</v>
      </c>
      <c r="J60" s="23">
        <f t="shared" si="20"/>
        <v>53</v>
      </c>
      <c r="K60" s="23">
        <f t="shared" si="20"/>
        <v>61</v>
      </c>
      <c r="L60" s="23">
        <f t="shared" si="20"/>
        <v>70</v>
      </c>
      <c r="M60" s="23">
        <f t="shared" si="20"/>
        <v>80</v>
      </c>
      <c r="N60" s="23">
        <f t="shared" si="20"/>
        <v>90</v>
      </c>
      <c r="O60" s="23">
        <f t="shared" si="20"/>
        <v>101</v>
      </c>
      <c r="P60" s="23">
        <f t="shared" si="20"/>
        <v>113</v>
      </c>
      <c r="Q60" s="23">
        <f t="shared" si="20"/>
        <v>126</v>
      </c>
      <c r="R60" s="23">
        <f t="shared" si="20"/>
        <v>139</v>
      </c>
      <c r="S60" s="23">
        <f t="shared" si="20"/>
        <v>153</v>
      </c>
      <c r="T60" s="23">
        <f t="shared" si="20"/>
        <v>167</v>
      </c>
      <c r="U60" s="23">
        <f t="shared" si="20"/>
        <v>182</v>
      </c>
      <c r="V60" s="23">
        <f t="shared" si="20"/>
        <v>198</v>
      </c>
      <c r="W60" s="23">
        <f t="shared" si="20"/>
        <v>216</v>
      </c>
      <c r="X60" s="23">
        <f t="shared" si="20"/>
        <v>235</v>
      </c>
      <c r="Y60" s="23">
        <f t="shared" si="20"/>
        <v>255</v>
      </c>
      <c r="Z60" s="23">
        <f t="shared" si="20"/>
        <v>276</v>
      </c>
      <c r="AA60" s="23">
        <f t="shared" si="20"/>
        <v>298</v>
      </c>
      <c r="AB60" s="23">
        <f t="shared" si="20"/>
        <v>322</v>
      </c>
      <c r="AC60" s="23">
        <f t="shared" si="20"/>
        <v>348</v>
      </c>
      <c r="AD60" s="23">
        <f t="shared" si="20"/>
        <v>376</v>
      </c>
      <c r="AE60" s="23">
        <f t="shared" si="20"/>
        <v>405</v>
      </c>
      <c r="AF60" s="23">
        <f t="shared" si="20"/>
        <v>436</v>
      </c>
      <c r="AG60" s="23">
        <f t="shared" si="20"/>
        <v>469</v>
      </c>
      <c r="AH60" s="23">
        <f t="shared" si="20"/>
        <v>504</v>
      </c>
      <c r="AI60" s="23">
        <f t="shared" si="20"/>
        <v>541</v>
      </c>
      <c r="AJ60" s="23">
        <f t="shared" ref="AJ60:BJ60" si="21">AI63</f>
        <v>581</v>
      </c>
      <c r="AK60" s="23">
        <f t="shared" si="21"/>
        <v>623</v>
      </c>
      <c r="AL60" s="23">
        <f t="shared" si="21"/>
        <v>668</v>
      </c>
      <c r="AM60" s="23">
        <f t="shared" si="21"/>
        <v>716</v>
      </c>
      <c r="AN60" s="23">
        <f t="shared" si="21"/>
        <v>709</v>
      </c>
      <c r="AO60" s="23">
        <f t="shared" si="21"/>
        <v>702</v>
      </c>
      <c r="AP60" s="23">
        <f t="shared" si="21"/>
        <v>695</v>
      </c>
      <c r="AQ60" s="23">
        <f t="shared" si="21"/>
        <v>688</v>
      </c>
      <c r="AR60" s="23">
        <f t="shared" si="21"/>
        <v>681</v>
      </c>
      <c r="AS60" s="23">
        <f t="shared" si="21"/>
        <v>674</v>
      </c>
      <c r="AT60" s="23">
        <f t="shared" si="21"/>
        <v>667</v>
      </c>
      <c r="AU60" s="23">
        <f t="shared" si="21"/>
        <v>660</v>
      </c>
      <c r="AV60" s="23">
        <f t="shared" si="21"/>
        <v>653</v>
      </c>
      <c r="AW60" s="23">
        <f t="shared" si="21"/>
        <v>646</v>
      </c>
      <c r="AX60" s="23">
        <f t="shared" si="21"/>
        <v>640</v>
      </c>
      <c r="AY60" s="23">
        <f t="shared" si="21"/>
        <v>634</v>
      </c>
      <c r="AZ60" s="23">
        <f t="shared" si="21"/>
        <v>628</v>
      </c>
      <c r="BA60" s="23">
        <f t="shared" si="21"/>
        <v>622</v>
      </c>
      <c r="BB60" s="23">
        <f t="shared" si="21"/>
        <v>616</v>
      </c>
      <c r="BC60" s="23">
        <f t="shared" si="21"/>
        <v>610</v>
      </c>
      <c r="BD60" s="23">
        <f t="shared" si="21"/>
        <v>604</v>
      </c>
      <c r="BE60" s="23">
        <f t="shared" si="21"/>
        <v>598</v>
      </c>
      <c r="BF60" s="23">
        <f t="shared" si="21"/>
        <v>592</v>
      </c>
      <c r="BG60" s="23">
        <f t="shared" si="21"/>
        <v>586</v>
      </c>
      <c r="BH60" s="23">
        <f t="shared" si="21"/>
        <v>580</v>
      </c>
      <c r="BI60" s="23">
        <f t="shared" si="21"/>
        <v>574</v>
      </c>
      <c r="BJ60" s="23">
        <f t="shared" si="21"/>
        <v>568</v>
      </c>
    </row>
    <row r="61" spans="1:68" x14ac:dyDescent="0.35">
      <c r="A61" s="15" t="s">
        <v>158</v>
      </c>
      <c r="B61" s="20" t="s">
        <v>116</v>
      </c>
      <c r="C61" s="23">
        <f t="shared" ref="C61:AH61" si="22">ROUND(C37*$C$42,0)</f>
        <v>6</v>
      </c>
      <c r="D61" s="23">
        <f t="shared" si="22"/>
        <v>7</v>
      </c>
      <c r="E61" s="23">
        <f t="shared" si="22"/>
        <v>7</v>
      </c>
      <c r="F61" s="23">
        <f t="shared" si="22"/>
        <v>7</v>
      </c>
      <c r="G61" s="23">
        <f t="shared" si="22"/>
        <v>8</v>
      </c>
      <c r="H61" s="23">
        <f t="shared" si="22"/>
        <v>8</v>
      </c>
      <c r="I61" s="23">
        <f t="shared" si="22"/>
        <v>9</v>
      </c>
      <c r="J61" s="23">
        <f t="shared" si="22"/>
        <v>9</v>
      </c>
      <c r="K61" s="23">
        <f t="shared" si="22"/>
        <v>10</v>
      </c>
      <c r="L61" s="23">
        <f t="shared" si="22"/>
        <v>11</v>
      </c>
      <c r="M61" s="23">
        <f t="shared" si="22"/>
        <v>11</v>
      </c>
      <c r="N61" s="23">
        <f t="shared" si="22"/>
        <v>12</v>
      </c>
      <c r="O61" s="23">
        <f t="shared" si="22"/>
        <v>13</v>
      </c>
      <c r="P61" s="23">
        <f t="shared" si="22"/>
        <v>14</v>
      </c>
      <c r="Q61" s="23">
        <f t="shared" si="22"/>
        <v>14</v>
      </c>
      <c r="R61" s="23">
        <f t="shared" si="22"/>
        <v>15</v>
      </c>
      <c r="S61" s="23">
        <f t="shared" si="22"/>
        <v>16</v>
      </c>
      <c r="T61" s="23">
        <f t="shared" si="22"/>
        <v>17</v>
      </c>
      <c r="U61" s="23">
        <f t="shared" si="22"/>
        <v>18</v>
      </c>
      <c r="V61" s="23">
        <f t="shared" si="22"/>
        <v>20</v>
      </c>
      <c r="W61" s="23">
        <f t="shared" si="22"/>
        <v>21</v>
      </c>
      <c r="X61" s="23">
        <f t="shared" si="22"/>
        <v>22</v>
      </c>
      <c r="Y61" s="23">
        <f t="shared" si="22"/>
        <v>24</v>
      </c>
      <c r="Z61" s="23">
        <f t="shared" si="22"/>
        <v>25</v>
      </c>
      <c r="AA61" s="23">
        <f t="shared" si="22"/>
        <v>27</v>
      </c>
      <c r="AB61" s="23">
        <f t="shared" si="22"/>
        <v>29</v>
      </c>
      <c r="AC61" s="23">
        <f t="shared" si="22"/>
        <v>31</v>
      </c>
      <c r="AD61" s="23">
        <f t="shared" si="22"/>
        <v>33</v>
      </c>
      <c r="AE61" s="23">
        <f t="shared" si="22"/>
        <v>35</v>
      </c>
      <c r="AF61" s="23">
        <f t="shared" si="22"/>
        <v>37</v>
      </c>
      <c r="AG61" s="23">
        <f t="shared" si="22"/>
        <v>40</v>
      </c>
      <c r="AH61" s="23">
        <f t="shared" si="22"/>
        <v>42</v>
      </c>
      <c r="AI61" s="23">
        <f t="shared" ref="AI61:BJ61" si="23">ROUND(AI37*$C$42,0)</f>
        <v>45</v>
      </c>
      <c r="AJ61" s="23">
        <f t="shared" si="23"/>
        <v>48</v>
      </c>
      <c r="AK61" s="23">
        <f t="shared" si="23"/>
        <v>51</v>
      </c>
      <c r="AL61" s="23">
        <f t="shared" si="23"/>
        <v>55</v>
      </c>
      <c r="AM61" s="23">
        <f t="shared" si="23"/>
        <v>0</v>
      </c>
      <c r="AN61" s="23">
        <f t="shared" si="23"/>
        <v>0</v>
      </c>
      <c r="AO61" s="23">
        <f t="shared" si="23"/>
        <v>0</v>
      </c>
      <c r="AP61" s="23">
        <f t="shared" si="23"/>
        <v>0</v>
      </c>
      <c r="AQ61" s="23">
        <f t="shared" si="23"/>
        <v>0</v>
      </c>
      <c r="AR61" s="23">
        <f t="shared" si="23"/>
        <v>0</v>
      </c>
      <c r="AS61" s="23">
        <f t="shared" si="23"/>
        <v>0</v>
      </c>
      <c r="AT61" s="23">
        <f t="shared" si="23"/>
        <v>0</v>
      </c>
      <c r="AU61" s="23">
        <f t="shared" si="23"/>
        <v>0</v>
      </c>
      <c r="AV61" s="23">
        <f t="shared" si="23"/>
        <v>0</v>
      </c>
      <c r="AW61" s="23">
        <f t="shared" si="23"/>
        <v>0</v>
      </c>
      <c r="AX61" s="23">
        <f t="shared" si="23"/>
        <v>0</v>
      </c>
      <c r="AY61" s="23">
        <f t="shared" si="23"/>
        <v>0</v>
      </c>
      <c r="AZ61" s="23">
        <f t="shared" si="23"/>
        <v>0</v>
      </c>
      <c r="BA61" s="23">
        <f t="shared" si="23"/>
        <v>0</v>
      </c>
      <c r="BB61" s="23">
        <f t="shared" si="23"/>
        <v>0</v>
      </c>
      <c r="BC61" s="23">
        <f t="shared" si="23"/>
        <v>0</v>
      </c>
      <c r="BD61" s="23">
        <f t="shared" si="23"/>
        <v>0</v>
      </c>
      <c r="BE61" s="23">
        <f t="shared" si="23"/>
        <v>0</v>
      </c>
      <c r="BF61" s="23">
        <f t="shared" si="23"/>
        <v>0</v>
      </c>
      <c r="BG61" s="23">
        <f t="shared" si="23"/>
        <v>0</v>
      </c>
      <c r="BH61" s="23">
        <f t="shared" si="23"/>
        <v>0</v>
      </c>
      <c r="BI61" s="23">
        <f t="shared" si="23"/>
        <v>0</v>
      </c>
      <c r="BJ61" s="23">
        <f t="shared" si="23"/>
        <v>0</v>
      </c>
      <c r="BK61" s="23">
        <f>SUMPRODUCT((YEAR(EDATE(Controls!$B$6,COLUMN($C$1:$BJ$1)-COLUMN($C$1)))=YEAR(Controls!$B$6)+0)*(COLUMN($C$1:$BJ$1)-COLUMN($C$1)&lt;Controls!$B$7)*$C$61:$BJ$61)</f>
        <v>105</v>
      </c>
      <c r="BL61" s="23">
        <f>SUMPRODUCT((YEAR(EDATE(Controls!$B$6,COLUMN($C$1:$BJ$1)-COLUMN($C$1)))=YEAR(Controls!$B$6)+1)*(COLUMN($C$1:$BJ$1)-COLUMN($C$1)&lt;Controls!$B$7)*$C$61:$BJ$61)</f>
        <v>219</v>
      </c>
      <c r="BM61" s="23">
        <f>SUMPRODUCT((YEAR(EDATE(Controls!$B$6,COLUMN($C$1:$BJ$1)-COLUMN($C$1)))=YEAR(Controls!$B$6)+2)*(COLUMN($C$1:$BJ$1)-COLUMN($C$1)&lt;Controls!$B$7)*$C$61:$BJ$61)</f>
        <v>473</v>
      </c>
      <c r="BN61" s="23">
        <f>SUMPRODUCT((YEAR(EDATE(Controls!$B$6,COLUMN($C$1:$BJ$1)-COLUMN($C$1)))=YEAR(Controls!$B$6)+3)*(COLUMN($C$1:$BJ$1)-COLUMN($C$1)&lt;Controls!$B$7)*$C$61:$BJ$61)</f>
        <v>0</v>
      </c>
      <c r="BO61" s="23">
        <f>SUMPRODUCT((YEAR(EDATE(Controls!$B$6,COLUMN($C$1:$BJ$1)-COLUMN($C$1)))=YEAR(Controls!$B$6)+4)*(COLUMN($C$1:$BJ$1)-COLUMN($C$1)&lt;Controls!$B$7)*$C$61:$BJ$61)</f>
        <v>0</v>
      </c>
      <c r="BP61" s="23">
        <f>SUMPRODUCT((YEAR(EDATE(Controls!$B$6,COLUMN($C$1:$BJ$1)-COLUMN($C$1)))=YEAR(Controls!$B$6)+5)*(COLUMN($C$1:$BJ$1)-COLUMN($C$1)&lt;Controls!$B$7)*$C$61:$BJ$61)</f>
        <v>0</v>
      </c>
    </row>
    <row r="62" spans="1:68" x14ac:dyDescent="0.35">
      <c r="A62" s="15" t="s">
        <v>159</v>
      </c>
      <c r="B62" s="20" t="s">
        <v>116</v>
      </c>
      <c r="C62" s="23">
        <f>-ROUND(C60*$C$64*IF(Controls!$B$12="Upside",Controls!$B$15,IF(Controls!$B$12="Downside",Controls!$B$16,1)),0)</f>
        <v>0</v>
      </c>
      <c r="D62" s="23">
        <f>-ROUND(D60*$C$64*IF(Controls!$B$12="Upside",Controls!$B$15,IF(Controls!$B$12="Downside",Controls!$B$16,1)),0)</f>
        <v>0</v>
      </c>
      <c r="E62" s="23">
        <f>-ROUND(E60*$C$64*IF(Controls!$B$12="Upside",Controls!$B$15,IF(Controls!$B$12="Downside",Controls!$B$16,1)),0)</f>
        <v>0</v>
      </c>
      <c r="F62" s="23">
        <f>-ROUND(F60*$C$64*IF(Controls!$B$12="Upside",Controls!$B$15,IF(Controls!$B$12="Downside",Controls!$B$16,1)),0)</f>
        <v>0</v>
      </c>
      <c r="G62" s="23">
        <f>-ROUND(G60*$C$64*IF(Controls!$B$12="Upside",Controls!$B$15,IF(Controls!$B$12="Downside",Controls!$B$16,1)),0)</f>
        <v>0</v>
      </c>
      <c r="H62" s="23">
        <f>-ROUND(H60*$C$64*IF(Controls!$B$12="Upside",Controls!$B$15,IF(Controls!$B$12="Downside",Controls!$B$16,1)),0)</f>
        <v>0</v>
      </c>
      <c r="I62" s="23">
        <f>-ROUND(I60*$C$64*IF(Controls!$B$12="Upside",Controls!$B$15,IF(Controls!$B$12="Downside",Controls!$B$16,1)),0)</f>
        <v>0</v>
      </c>
      <c r="J62" s="23">
        <f>-ROUND(J60*$C$64*IF(Controls!$B$12="Upside",Controls!$B$15,IF(Controls!$B$12="Downside",Controls!$B$16,1)),0)</f>
        <v>-1</v>
      </c>
      <c r="K62" s="23">
        <f>-ROUND(K60*$C$64*IF(Controls!$B$12="Upside",Controls!$B$15,IF(Controls!$B$12="Downside",Controls!$B$16,1)),0)</f>
        <v>-1</v>
      </c>
      <c r="L62" s="23">
        <f>-ROUND(L60*$C$64*IF(Controls!$B$12="Upside",Controls!$B$15,IF(Controls!$B$12="Downside",Controls!$B$16,1)),0)</f>
        <v>-1</v>
      </c>
      <c r="M62" s="23">
        <f>-ROUND(M60*$C$64*IF(Controls!$B$12="Upside",Controls!$B$15,IF(Controls!$B$12="Downside",Controls!$B$16,1)),0)</f>
        <v>-1</v>
      </c>
      <c r="N62" s="23">
        <f>-ROUND(N60*$C$64*IF(Controls!$B$12="Upside",Controls!$B$15,IF(Controls!$B$12="Downside",Controls!$B$16,1)),0)</f>
        <v>-1</v>
      </c>
      <c r="O62" s="23">
        <f>-ROUND(O60*$C$64*IF(Controls!$B$12="Upside",Controls!$B$15,IF(Controls!$B$12="Downside",Controls!$B$16,1)),0)</f>
        <v>-1</v>
      </c>
      <c r="P62" s="23">
        <f>-ROUND(P60*$C$64*IF(Controls!$B$12="Upside",Controls!$B$15,IF(Controls!$B$12="Downside",Controls!$B$16,1)),0)</f>
        <v>-1</v>
      </c>
      <c r="Q62" s="23">
        <f>-ROUND(Q60*$C$64*IF(Controls!$B$12="Upside",Controls!$B$15,IF(Controls!$B$12="Downside",Controls!$B$16,1)),0)</f>
        <v>-1</v>
      </c>
      <c r="R62" s="23">
        <f>-ROUND(R60*$C$64*IF(Controls!$B$12="Upside",Controls!$B$15,IF(Controls!$B$12="Downside",Controls!$B$16,1)),0)</f>
        <v>-1</v>
      </c>
      <c r="S62" s="23">
        <f>-ROUND(S60*$C$64*IF(Controls!$B$12="Upside",Controls!$B$15,IF(Controls!$B$12="Downside",Controls!$B$16,1)),0)</f>
        <v>-2</v>
      </c>
      <c r="T62" s="23">
        <f>-ROUND(T60*$C$64*IF(Controls!$B$12="Upside",Controls!$B$15,IF(Controls!$B$12="Downside",Controls!$B$16,1)),0)</f>
        <v>-2</v>
      </c>
      <c r="U62" s="23">
        <f>-ROUND(U60*$C$64*IF(Controls!$B$12="Upside",Controls!$B$15,IF(Controls!$B$12="Downside",Controls!$B$16,1)),0)</f>
        <v>-2</v>
      </c>
      <c r="V62" s="23">
        <f>-ROUND(V60*$C$64*IF(Controls!$B$12="Upside",Controls!$B$15,IF(Controls!$B$12="Downside",Controls!$B$16,1)),0)</f>
        <v>-2</v>
      </c>
      <c r="W62" s="23">
        <f>-ROUND(W60*$C$64*IF(Controls!$B$12="Upside",Controls!$B$15,IF(Controls!$B$12="Downside",Controls!$B$16,1)),0)</f>
        <v>-2</v>
      </c>
      <c r="X62" s="23">
        <f>-ROUND(X60*$C$64*IF(Controls!$B$12="Upside",Controls!$B$15,IF(Controls!$B$12="Downside",Controls!$B$16,1)),0)</f>
        <v>-2</v>
      </c>
      <c r="Y62" s="23">
        <f>-ROUND(Y60*$C$64*IF(Controls!$B$12="Upside",Controls!$B$15,IF(Controls!$B$12="Downside",Controls!$B$16,1)),0)</f>
        <v>-3</v>
      </c>
      <c r="Z62" s="23">
        <f>-ROUND(Z60*$C$64*IF(Controls!$B$12="Upside",Controls!$B$15,IF(Controls!$B$12="Downside",Controls!$B$16,1)),0)</f>
        <v>-3</v>
      </c>
      <c r="AA62" s="23">
        <f>-ROUND(AA60*$C$64*IF(Controls!$B$12="Upside",Controls!$B$15,IF(Controls!$B$12="Downside",Controls!$B$16,1)),0)</f>
        <v>-3</v>
      </c>
      <c r="AB62" s="23">
        <f>-ROUND(AB60*$C$64*IF(Controls!$B$12="Upside",Controls!$B$15,IF(Controls!$B$12="Downside",Controls!$B$16,1)),0)</f>
        <v>-3</v>
      </c>
      <c r="AC62" s="23">
        <f>-ROUND(AC60*$C$64*IF(Controls!$B$12="Upside",Controls!$B$15,IF(Controls!$B$12="Downside",Controls!$B$16,1)),0)</f>
        <v>-3</v>
      </c>
      <c r="AD62" s="23">
        <f>-ROUND(AD60*$C$64*IF(Controls!$B$12="Upside",Controls!$B$15,IF(Controls!$B$12="Downside",Controls!$B$16,1)),0)</f>
        <v>-4</v>
      </c>
      <c r="AE62" s="23">
        <f>-ROUND(AE60*$C$64*IF(Controls!$B$12="Upside",Controls!$B$15,IF(Controls!$B$12="Downside",Controls!$B$16,1)),0)</f>
        <v>-4</v>
      </c>
      <c r="AF62" s="23">
        <f>-ROUND(AF60*$C$64*IF(Controls!$B$12="Upside",Controls!$B$15,IF(Controls!$B$12="Downside",Controls!$B$16,1)),0)</f>
        <v>-4</v>
      </c>
      <c r="AG62" s="23">
        <f>-ROUND(AG60*$C$64*IF(Controls!$B$12="Upside",Controls!$B$15,IF(Controls!$B$12="Downside",Controls!$B$16,1)),0)</f>
        <v>-5</v>
      </c>
      <c r="AH62" s="23">
        <f>-ROUND(AH60*$C$64*IF(Controls!$B$12="Upside",Controls!$B$15,IF(Controls!$B$12="Downside",Controls!$B$16,1)),0)</f>
        <v>-5</v>
      </c>
      <c r="AI62" s="23">
        <f>-ROUND(AI60*$C$64*IF(Controls!$B$12="Upside",Controls!$B$15,IF(Controls!$B$12="Downside",Controls!$B$16,1)),0)</f>
        <v>-5</v>
      </c>
      <c r="AJ62" s="23">
        <f>-ROUND(AJ60*$C$64*IF(Controls!$B$12="Upside",Controls!$B$15,IF(Controls!$B$12="Downside",Controls!$B$16,1)),0)</f>
        <v>-6</v>
      </c>
      <c r="AK62" s="23">
        <f>-ROUND(AK60*$C$64*IF(Controls!$B$12="Upside",Controls!$B$15,IF(Controls!$B$12="Downside",Controls!$B$16,1)),0)</f>
        <v>-6</v>
      </c>
      <c r="AL62" s="23">
        <f>-ROUND(AL60*$C$64*IF(Controls!$B$12="Upside",Controls!$B$15,IF(Controls!$B$12="Downside",Controls!$B$16,1)),0)</f>
        <v>-7</v>
      </c>
      <c r="AM62" s="23">
        <f>-ROUND(AM60*$C$64*IF(Controls!$B$12="Upside",Controls!$B$15,IF(Controls!$B$12="Downside",Controls!$B$16,1)),0)</f>
        <v>-7</v>
      </c>
      <c r="AN62" s="23">
        <f>-ROUND(AN60*$C$64*IF(Controls!$B$12="Upside",Controls!$B$15,IF(Controls!$B$12="Downside",Controls!$B$16,1)),0)</f>
        <v>-7</v>
      </c>
      <c r="AO62" s="23">
        <f>-ROUND(AO60*$C$64*IF(Controls!$B$12="Upside",Controls!$B$15,IF(Controls!$B$12="Downside",Controls!$B$16,1)),0)</f>
        <v>-7</v>
      </c>
      <c r="AP62" s="23">
        <f>-ROUND(AP60*$C$64*IF(Controls!$B$12="Upside",Controls!$B$15,IF(Controls!$B$12="Downside",Controls!$B$16,1)),0)</f>
        <v>-7</v>
      </c>
      <c r="AQ62" s="23">
        <f>-ROUND(AQ60*$C$64*IF(Controls!$B$12="Upside",Controls!$B$15,IF(Controls!$B$12="Downside",Controls!$B$16,1)),0)</f>
        <v>-7</v>
      </c>
      <c r="AR62" s="23">
        <f>-ROUND(AR60*$C$64*IF(Controls!$B$12="Upside",Controls!$B$15,IF(Controls!$B$12="Downside",Controls!$B$16,1)),0)</f>
        <v>-7</v>
      </c>
      <c r="AS62" s="23">
        <f>-ROUND(AS60*$C$64*IF(Controls!$B$12="Upside",Controls!$B$15,IF(Controls!$B$12="Downside",Controls!$B$16,1)),0)</f>
        <v>-7</v>
      </c>
      <c r="AT62" s="23">
        <f>-ROUND(AT60*$C$64*IF(Controls!$B$12="Upside",Controls!$B$15,IF(Controls!$B$12="Downside",Controls!$B$16,1)),0)</f>
        <v>-7</v>
      </c>
      <c r="AU62" s="23">
        <f>-ROUND(AU60*$C$64*IF(Controls!$B$12="Upside",Controls!$B$15,IF(Controls!$B$12="Downside",Controls!$B$16,1)),0)</f>
        <v>-7</v>
      </c>
      <c r="AV62" s="23">
        <f>-ROUND(AV60*$C$64*IF(Controls!$B$12="Upside",Controls!$B$15,IF(Controls!$B$12="Downside",Controls!$B$16,1)),0)</f>
        <v>-7</v>
      </c>
      <c r="AW62" s="23">
        <f>-ROUND(AW60*$C$64*IF(Controls!$B$12="Upside",Controls!$B$15,IF(Controls!$B$12="Downside",Controls!$B$16,1)),0)</f>
        <v>-6</v>
      </c>
      <c r="AX62" s="23">
        <f>-ROUND(AX60*$C$64*IF(Controls!$B$12="Upside",Controls!$B$15,IF(Controls!$B$12="Downside",Controls!$B$16,1)),0)</f>
        <v>-6</v>
      </c>
      <c r="AY62" s="23">
        <f>-ROUND(AY60*$C$64*IF(Controls!$B$12="Upside",Controls!$B$15,IF(Controls!$B$12="Downside",Controls!$B$16,1)),0)</f>
        <v>-6</v>
      </c>
      <c r="AZ62" s="23">
        <f>-ROUND(AZ60*$C$64*IF(Controls!$B$12="Upside",Controls!$B$15,IF(Controls!$B$12="Downside",Controls!$B$16,1)),0)</f>
        <v>-6</v>
      </c>
      <c r="BA62" s="23">
        <f>-ROUND(BA60*$C$64*IF(Controls!$B$12="Upside",Controls!$B$15,IF(Controls!$B$12="Downside",Controls!$B$16,1)),0)</f>
        <v>-6</v>
      </c>
      <c r="BB62" s="23">
        <f>-ROUND(BB60*$C$64*IF(Controls!$B$12="Upside",Controls!$B$15,IF(Controls!$B$12="Downside",Controls!$B$16,1)),0)</f>
        <v>-6</v>
      </c>
      <c r="BC62" s="23">
        <f>-ROUND(BC60*$C$64*IF(Controls!$B$12="Upside",Controls!$B$15,IF(Controls!$B$12="Downside",Controls!$B$16,1)),0)</f>
        <v>-6</v>
      </c>
      <c r="BD62" s="23">
        <f>-ROUND(BD60*$C$64*IF(Controls!$B$12="Upside",Controls!$B$15,IF(Controls!$B$12="Downside",Controls!$B$16,1)),0)</f>
        <v>-6</v>
      </c>
      <c r="BE62" s="23">
        <f>-ROUND(BE60*$C$64*IF(Controls!$B$12="Upside",Controls!$B$15,IF(Controls!$B$12="Downside",Controls!$B$16,1)),0)</f>
        <v>-6</v>
      </c>
      <c r="BF62" s="23">
        <f>-ROUND(BF60*$C$64*IF(Controls!$B$12="Upside",Controls!$B$15,IF(Controls!$B$12="Downside",Controls!$B$16,1)),0)</f>
        <v>-6</v>
      </c>
      <c r="BG62" s="23">
        <f>-ROUND(BG60*$C$64*IF(Controls!$B$12="Upside",Controls!$B$15,IF(Controls!$B$12="Downside",Controls!$B$16,1)),0)</f>
        <v>-6</v>
      </c>
      <c r="BH62" s="23">
        <f>-ROUND(BH60*$C$64*IF(Controls!$B$12="Upside",Controls!$B$15,IF(Controls!$B$12="Downside",Controls!$B$16,1)),0)</f>
        <v>-6</v>
      </c>
      <c r="BI62" s="23">
        <f>-ROUND(BI60*$C$64*IF(Controls!$B$12="Upside",Controls!$B$15,IF(Controls!$B$12="Downside",Controls!$B$16,1)),0)</f>
        <v>-6</v>
      </c>
      <c r="BJ62" s="23">
        <f>-ROUND(BJ60*$C$64*IF(Controls!$B$12="Upside",Controls!$B$15,IF(Controls!$B$12="Downside",Controls!$B$16,1)),0)</f>
        <v>-6</v>
      </c>
      <c r="BK62" s="23">
        <f>SUMPRODUCT((YEAR(EDATE(Controls!$B$6,COLUMN($C$1:$BJ$1)-COLUMN($C$1)))=YEAR(Controls!$B$6)+0)*(COLUMN($C$1:$BJ$1)-COLUMN($C$1)&lt;Controls!$B$7)*$C$62:$BJ$62)</f>
        <v>-5</v>
      </c>
      <c r="BL62" s="23">
        <f>SUMPRODUCT((YEAR(EDATE(Controls!$B$6,COLUMN($C$1:$BJ$1)-COLUMN($C$1)))=YEAR(Controls!$B$6)+1)*(COLUMN($C$1:$BJ$1)-COLUMN($C$1)&lt;Controls!$B$7)*$C$62:$BJ$62)</f>
        <v>-22</v>
      </c>
      <c r="BM62" s="23">
        <f>SUMPRODUCT((YEAR(EDATE(Controls!$B$6,COLUMN($C$1:$BJ$1)-COLUMN($C$1)))=YEAR(Controls!$B$6)+2)*(COLUMN($C$1:$BJ$1)-COLUMN($C$1)&lt;Controls!$B$7)*$C$62:$BJ$62)</f>
        <v>-55</v>
      </c>
      <c r="BN62" s="23">
        <f>SUMPRODUCT((YEAR(EDATE(Controls!$B$6,COLUMN($C$1:$BJ$1)-COLUMN($C$1)))=YEAR(Controls!$B$6)+3)*(COLUMN($C$1:$BJ$1)-COLUMN($C$1)&lt;Controls!$B$7)*$C$62:$BJ$62)</f>
        <v>0</v>
      </c>
      <c r="BO62" s="23">
        <f>SUMPRODUCT((YEAR(EDATE(Controls!$B$6,COLUMN($C$1:$BJ$1)-COLUMN($C$1)))=YEAR(Controls!$B$6)+4)*(COLUMN($C$1:$BJ$1)-COLUMN($C$1)&lt;Controls!$B$7)*$C$62:$BJ$62)</f>
        <v>0</v>
      </c>
      <c r="BP62" s="23">
        <f>SUMPRODUCT((YEAR(EDATE(Controls!$B$6,COLUMN($C$1:$BJ$1)-COLUMN($C$1)))=YEAR(Controls!$B$6)+5)*(COLUMN($C$1:$BJ$1)-COLUMN($C$1)&lt;Controls!$B$7)*$C$62:$BJ$62)</f>
        <v>0</v>
      </c>
    </row>
    <row r="63" spans="1:68" x14ac:dyDescent="0.35">
      <c r="A63" s="6" t="s">
        <v>160</v>
      </c>
      <c r="B63" s="20" t="s">
        <v>116</v>
      </c>
      <c r="C63" s="23">
        <f t="shared" ref="C63:AH63" si="24">C60+C61+C62</f>
        <v>7</v>
      </c>
      <c r="D63" s="23">
        <f t="shared" si="24"/>
        <v>14</v>
      </c>
      <c r="E63" s="23">
        <f t="shared" si="24"/>
        <v>21</v>
      </c>
      <c r="F63" s="23">
        <f t="shared" si="24"/>
        <v>28</v>
      </c>
      <c r="G63" s="23">
        <f t="shared" si="24"/>
        <v>36</v>
      </c>
      <c r="H63" s="23">
        <f t="shared" si="24"/>
        <v>44</v>
      </c>
      <c r="I63" s="23">
        <f t="shared" si="24"/>
        <v>53</v>
      </c>
      <c r="J63" s="23">
        <f t="shared" si="24"/>
        <v>61</v>
      </c>
      <c r="K63" s="23">
        <f t="shared" si="24"/>
        <v>70</v>
      </c>
      <c r="L63" s="23">
        <f t="shared" si="24"/>
        <v>80</v>
      </c>
      <c r="M63" s="23">
        <f t="shared" si="24"/>
        <v>90</v>
      </c>
      <c r="N63" s="23">
        <f t="shared" si="24"/>
        <v>101</v>
      </c>
      <c r="O63" s="23">
        <f t="shared" si="24"/>
        <v>113</v>
      </c>
      <c r="P63" s="23">
        <f t="shared" si="24"/>
        <v>126</v>
      </c>
      <c r="Q63" s="23">
        <f t="shared" si="24"/>
        <v>139</v>
      </c>
      <c r="R63" s="23">
        <f t="shared" si="24"/>
        <v>153</v>
      </c>
      <c r="S63" s="23">
        <f t="shared" si="24"/>
        <v>167</v>
      </c>
      <c r="T63" s="23">
        <f t="shared" si="24"/>
        <v>182</v>
      </c>
      <c r="U63" s="23">
        <f t="shared" si="24"/>
        <v>198</v>
      </c>
      <c r="V63" s="23">
        <f t="shared" si="24"/>
        <v>216</v>
      </c>
      <c r="W63" s="23">
        <f t="shared" si="24"/>
        <v>235</v>
      </c>
      <c r="X63" s="23">
        <f t="shared" si="24"/>
        <v>255</v>
      </c>
      <c r="Y63" s="23">
        <f t="shared" si="24"/>
        <v>276</v>
      </c>
      <c r="Z63" s="23">
        <f t="shared" si="24"/>
        <v>298</v>
      </c>
      <c r="AA63" s="23">
        <f t="shared" si="24"/>
        <v>322</v>
      </c>
      <c r="AB63" s="23">
        <f t="shared" si="24"/>
        <v>348</v>
      </c>
      <c r="AC63" s="23">
        <f t="shared" si="24"/>
        <v>376</v>
      </c>
      <c r="AD63" s="23">
        <f t="shared" si="24"/>
        <v>405</v>
      </c>
      <c r="AE63" s="23">
        <f t="shared" si="24"/>
        <v>436</v>
      </c>
      <c r="AF63" s="23">
        <f t="shared" si="24"/>
        <v>469</v>
      </c>
      <c r="AG63" s="23">
        <f t="shared" si="24"/>
        <v>504</v>
      </c>
      <c r="AH63" s="23">
        <f t="shared" si="24"/>
        <v>541</v>
      </c>
      <c r="AI63" s="23">
        <f t="shared" ref="AI63:BJ63" si="25">AI60+AI61+AI62</f>
        <v>581</v>
      </c>
      <c r="AJ63" s="23">
        <f t="shared" si="25"/>
        <v>623</v>
      </c>
      <c r="AK63" s="23">
        <f t="shared" si="25"/>
        <v>668</v>
      </c>
      <c r="AL63" s="23">
        <f t="shared" si="25"/>
        <v>716</v>
      </c>
      <c r="AM63" s="23">
        <f t="shared" si="25"/>
        <v>709</v>
      </c>
      <c r="AN63" s="23">
        <f t="shared" si="25"/>
        <v>702</v>
      </c>
      <c r="AO63" s="23">
        <f t="shared" si="25"/>
        <v>695</v>
      </c>
      <c r="AP63" s="23">
        <f t="shared" si="25"/>
        <v>688</v>
      </c>
      <c r="AQ63" s="23">
        <f t="shared" si="25"/>
        <v>681</v>
      </c>
      <c r="AR63" s="23">
        <f t="shared" si="25"/>
        <v>674</v>
      </c>
      <c r="AS63" s="23">
        <f t="shared" si="25"/>
        <v>667</v>
      </c>
      <c r="AT63" s="23">
        <f t="shared" si="25"/>
        <v>660</v>
      </c>
      <c r="AU63" s="23">
        <f t="shared" si="25"/>
        <v>653</v>
      </c>
      <c r="AV63" s="23">
        <f t="shared" si="25"/>
        <v>646</v>
      </c>
      <c r="AW63" s="23">
        <f t="shared" si="25"/>
        <v>640</v>
      </c>
      <c r="AX63" s="23">
        <f t="shared" si="25"/>
        <v>634</v>
      </c>
      <c r="AY63" s="23">
        <f t="shared" si="25"/>
        <v>628</v>
      </c>
      <c r="AZ63" s="23">
        <f t="shared" si="25"/>
        <v>622</v>
      </c>
      <c r="BA63" s="23">
        <f t="shared" si="25"/>
        <v>616</v>
      </c>
      <c r="BB63" s="23">
        <f t="shared" si="25"/>
        <v>610</v>
      </c>
      <c r="BC63" s="23">
        <f t="shared" si="25"/>
        <v>604</v>
      </c>
      <c r="BD63" s="23">
        <f t="shared" si="25"/>
        <v>598</v>
      </c>
      <c r="BE63" s="23">
        <f t="shared" si="25"/>
        <v>592</v>
      </c>
      <c r="BF63" s="23">
        <f t="shared" si="25"/>
        <v>586</v>
      </c>
      <c r="BG63" s="23">
        <f t="shared" si="25"/>
        <v>580</v>
      </c>
      <c r="BH63" s="23">
        <f t="shared" si="25"/>
        <v>574</v>
      </c>
      <c r="BI63" s="23">
        <f t="shared" si="25"/>
        <v>568</v>
      </c>
      <c r="BJ63" s="23">
        <f t="shared" si="25"/>
        <v>562</v>
      </c>
      <c r="BK63" s="23">
        <f>IFERROR(LOOKUP(2,1/((YEAR(EDATE(Controls!$B$6,COLUMN($C$1:$BJ$1)-COLUMN($C$1)))=YEAR(Controls!$B$6)+0)*(COLUMN($C$1:$BJ$1)-COLUMN($C$1)&lt;Controls!$B$7)),$C$63:$BJ$63),0)</f>
        <v>101</v>
      </c>
      <c r="BL63" s="23">
        <f>IFERROR(LOOKUP(2,1/((YEAR(EDATE(Controls!$B$6,COLUMN($C$1:$BJ$1)-COLUMN($C$1)))=YEAR(Controls!$B$6)+1)*(COLUMN($C$1:$BJ$1)-COLUMN($C$1)&lt;Controls!$B$7)),$C$63:$BJ$63),0)</f>
        <v>298</v>
      </c>
      <c r="BM63" s="23">
        <f>IFERROR(LOOKUP(2,1/((YEAR(EDATE(Controls!$B$6,COLUMN($C$1:$BJ$1)-COLUMN($C$1)))=YEAR(Controls!$B$6)+2)*(COLUMN($C$1:$BJ$1)-COLUMN($C$1)&lt;Controls!$B$7)),$C$63:$BJ$63),0)</f>
        <v>716</v>
      </c>
      <c r="BN63" s="23">
        <f>IFERROR(LOOKUP(2,1/((YEAR(EDATE(Controls!$B$6,COLUMN($C$1:$BJ$1)-COLUMN($C$1)))=YEAR(Controls!$B$6)+3)*(COLUMN($C$1:$BJ$1)-COLUMN($C$1)&lt;Controls!$B$7)),$C$63:$BJ$63),0)</f>
        <v>0</v>
      </c>
      <c r="BO63" s="23">
        <f>IFERROR(LOOKUP(2,1/((YEAR(EDATE(Controls!$B$6,COLUMN($C$1:$BJ$1)-COLUMN($C$1)))=YEAR(Controls!$B$6)+4)*(COLUMN($C$1:$BJ$1)-COLUMN($C$1)&lt;Controls!$B$7)),$C$63:$BJ$63),0)</f>
        <v>0</v>
      </c>
      <c r="BP63" s="23">
        <f>IFERROR(LOOKUP(2,1/((YEAR(EDATE(Controls!$B$6,COLUMN($C$1:$BJ$1)-COLUMN($C$1)))=YEAR(Controls!$B$6)+5)*(COLUMN($C$1:$BJ$1)-COLUMN($C$1)&lt;Controls!$B$7)),$C$63:$BJ$63),0)</f>
        <v>0</v>
      </c>
    </row>
    <row r="64" spans="1:68" x14ac:dyDescent="0.35">
      <c r="A64" s="25" t="s">
        <v>161</v>
      </c>
      <c r="B64" s="20" t="s">
        <v>149</v>
      </c>
      <c r="C64" s="28">
        <v>0.01</v>
      </c>
    </row>
    <row r="66" spans="1:68" x14ac:dyDescent="0.35">
      <c r="A66" s="6" t="s">
        <v>162</v>
      </c>
      <c r="B66" s="20" t="s">
        <v>116</v>
      </c>
      <c r="C66" s="23">
        <f t="shared" ref="C66:AH66" si="26">C49+C56+C63</f>
        <v>70</v>
      </c>
      <c r="D66" s="23">
        <f t="shared" si="26"/>
        <v>135</v>
      </c>
      <c r="E66" s="23">
        <f t="shared" si="26"/>
        <v>201</v>
      </c>
      <c r="F66" s="23">
        <f t="shared" si="26"/>
        <v>269</v>
      </c>
      <c r="G66" s="23">
        <f t="shared" si="26"/>
        <v>341</v>
      </c>
      <c r="H66" s="23">
        <f t="shared" si="26"/>
        <v>416</v>
      </c>
      <c r="I66" s="23">
        <f t="shared" si="26"/>
        <v>494</v>
      </c>
      <c r="J66" s="23">
        <f t="shared" si="26"/>
        <v>574</v>
      </c>
      <c r="K66" s="23">
        <f t="shared" si="26"/>
        <v>658</v>
      </c>
      <c r="L66" s="23">
        <f t="shared" si="26"/>
        <v>747</v>
      </c>
      <c r="M66" s="23">
        <f t="shared" si="26"/>
        <v>841</v>
      </c>
      <c r="N66" s="23">
        <f t="shared" si="26"/>
        <v>940</v>
      </c>
      <c r="O66" s="23">
        <f t="shared" si="26"/>
        <v>1043</v>
      </c>
      <c r="P66" s="23">
        <f t="shared" si="26"/>
        <v>1154</v>
      </c>
      <c r="Q66" s="23">
        <f t="shared" si="26"/>
        <v>1269</v>
      </c>
      <c r="R66" s="23">
        <f t="shared" si="26"/>
        <v>1391</v>
      </c>
      <c r="S66" s="23">
        <f t="shared" si="26"/>
        <v>1519</v>
      </c>
      <c r="T66" s="23">
        <f t="shared" si="26"/>
        <v>1655</v>
      </c>
      <c r="U66" s="23">
        <f t="shared" si="26"/>
        <v>1797</v>
      </c>
      <c r="V66" s="23">
        <f t="shared" si="26"/>
        <v>1950</v>
      </c>
      <c r="W66" s="23">
        <f t="shared" si="26"/>
        <v>2111</v>
      </c>
      <c r="X66" s="23">
        <f t="shared" si="26"/>
        <v>2281</v>
      </c>
      <c r="Y66" s="23">
        <f t="shared" si="26"/>
        <v>2463</v>
      </c>
      <c r="Z66" s="23">
        <f t="shared" si="26"/>
        <v>2654</v>
      </c>
      <c r="AA66" s="23">
        <f t="shared" si="26"/>
        <v>2857</v>
      </c>
      <c r="AB66" s="23">
        <f t="shared" si="26"/>
        <v>3074</v>
      </c>
      <c r="AC66" s="23">
        <f t="shared" si="26"/>
        <v>3305</v>
      </c>
      <c r="AD66" s="23">
        <f t="shared" si="26"/>
        <v>3550</v>
      </c>
      <c r="AE66" s="23">
        <f t="shared" si="26"/>
        <v>3811</v>
      </c>
      <c r="AF66" s="23">
        <f t="shared" si="26"/>
        <v>4088</v>
      </c>
      <c r="AG66" s="23">
        <f t="shared" si="26"/>
        <v>4384</v>
      </c>
      <c r="AH66" s="23">
        <f t="shared" si="26"/>
        <v>4699</v>
      </c>
      <c r="AI66" s="23">
        <f t="shared" ref="AI66:BJ66" si="27">AI49+AI56+AI63</f>
        <v>5035</v>
      </c>
      <c r="AJ66" s="23">
        <f t="shared" si="27"/>
        <v>5392</v>
      </c>
      <c r="AK66" s="23">
        <f t="shared" si="27"/>
        <v>5773</v>
      </c>
      <c r="AL66" s="23">
        <f t="shared" si="27"/>
        <v>6179</v>
      </c>
      <c r="AM66" s="23">
        <f t="shared" si="27"/>
        <v>6027</v>
      </c>
      <c r="AN66" s="23">
        <f t="shared" si="27"/>
        <v>5879</v>
      </c>
      <c r="AO66" s="23">
        <f t="shared" si="27"/>
        <v>5736</v>
      </c>
      <c r="AP66" s="23">
        <f t="shared" si="27"/>
        <v>5596</v>
      </c>
      <c r="AQ66" s="23">
        <f t="shared" si="27"/>
        <v>5459</v>
      </c>
      <c r="AR66" s="23">
        <f t="shared" si="27"/>
        <v>5326</v>
      </c>
      <c r="AS66" s="23">
        <f t="shared" si="27"/>
        <v>5197</v>
      </c>
      <c r="AT66" s="23">
        <f t="shared" si="27"/>
        <v>5071</v>
      </c>
      <c r="AU66" s="23">
        <f t="shared" si="27"/>
        <v>4948</v>
      </c>
      <c r="AV66" s="23">
        <f t="shared" si="27"/>
        <v>4829</v>
      </c>
      <c r="AW66" s="23">
        <f t="shared" si="27"/>
        <v>4713</v>
      </c>
      <c r="AX66" s="23">
        <f t="shared" si="27"/>
        <v>4600</v>
      </c>
      <c r="AY66" s="23">
        <f t="shared" si="27"/>
        <v>4491</v>
      </c>
      <c r="AZ66" s="23">
        <f t="shared" si="27"/>
        <v>4384</v>
      </c>
      <c r="BA66" s="23">
        <f t="shared" si="27"/>
        <v>4280</v>
      </c>
      <c r="BB66" s="23">
        <f t="shared" si="27"/>
        <v>4178</v>
      </c>
      <c r="BC66" s="23">
        <f t="shared" si="27"/>
        <v>4079</v>
      </c>
      <c r="BD66" s="23">
        <f t="shared" si="27"/>
        <v>3982</v>
      </c>
      <c r="BE66" s="23">
        <f t="shared" si="27"/>
        <v>3888</v>
      </c>
      <c r="BF66" s="23">
        <f t="shared" si="27"/>
        <v>3797</v>
      </c>
      <c r="BG66" s="23">
        <f t="shared" si="27"/>
        <v>3707</v>
      </c>
      <c r="BH66" s="23">
        <f t="shared" si="27"/>
        <v>3620</v>
      </c>
      <c r="BI66" s="23">
        <f t="shared" si="27"/>
        <v>3535</v>
      </c>
      <c r="BJ66" s="23">
        <f t="shared" si="27"/>
        <v>3453</v>
      </c>
      <c r="BK66" s="23">
        <f>IFERROR(LOOKUP(2,1/((YEAR(EDATE(Controls!$B$6,COLUMN($C$1:$BJ$1)-COLUMN($C$1)))=YEAR(Controls!$B$6)+0)*(COLUMN($C$1:$BJ$1)-COLUMN($C$1)&lt;Controls!$B$7)),$C$66:$BJ$66),0)</f>
        <v>940</v>
      </c>
      <c r="BL66" s="23">
        <f>IFERROR(LOOKUP(2,1/((YEAR(EDATE(Controls!$B$6,COLUMN($C$1:$BJ$1)-COLUMN($C$1)))=YEAR(Controls!$B$6)+1)*(COLUMN($C$1:$BJ$1)-COLUMN($C$1)&lt;Controls!$B$7)),$C$66:$BJ$66),0)</f>
        <v>2654</v>
      </c>
      <c r="BM66" s="23">
        <f>IFERROR(LOOKUP(2,1/((YEAR(EDATE(Controls!$B$6,COLUMN($C$1:$BJ$1)-COLUMN($C$1)))=YEAR(Controls!$B$6)+2)*(COLUMN($C$1:$BJ$1)-COLUMN($C$1)&lt;Controls!$B$7)),$C$66:$BJ$66),0)</f>
        <v>6179</v>
      </c>
      <c r="BN66" s="23">
        <f>IFERROR(LOOKUP(2,1/((YEAR(EDATE(Controls!$B$6,COLUMN($C$1:$BJ$1)-COLUMN($C$1)))=YEAR(Controls!$B$6)+3)*(COLUMN($C$1:$BJ$1)-COLUMN($C$1)&lt;Controls!$B$7)),$C$66:$BJ$66),0)</f>
        <v>0</v>
      </c>
      <c r="BO66" s="23">
        <f>IFERROR(LOOKUP(2,1/((YEAR(EDATE(Controls!$B$6,COLUMN($C$1:$BJ$1)-COLUMN($C$1)))=YEAR(Controls!$B$6)+4)*(COLUMN($C$1:$BJ$1)-COLUMN($C$1)&lt;Controls!$B$7)),$C$66:$BJ$66),0)</f>
        <v>0</v>
      </c>
      <c r="BP66" s="23">
        <f>IFERROR(LOOKUP(2,1/((YEAR(EDATE(Controls!$B$6,COLUMN($C$1:$BJ$1)-COLUMN($C$1)))=YEAR(Controls!$B$6)+5)*(COLUMN($C$1:$BJ$1)-COLUMN($C$1)&lt;Controls!$B$7)),$C$66:$BJ$66),0)</f>
        <v>0</v>
      </c>
    </row>
    <row r="68" spans="1:68" ht="18" customHeight="1" x14ac:dyDescent="0.35">
      <c r="A68" s="58" t="s">
        <v>163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</row>
    <row r="69" spans="1:68" x14ac:dyDescent="0.35">
      <c r="A69" s="25" t="s">
        <v>164</v>
      </c>
      <c r="B69" s="20" t="s">
        <v>149</v>
      </c>
      <c r="C69" s="28">
        <v>5.0000000000000001E-3</v>
      </c>
    </row>
    <row r="70" spans="1:68" x14ac:dyDescent="0.35">
      <c r="A70" s="25" t="s">
        <v>165</v>
      </c>
      <c r="B70" s="20" t="s">
        <v>149</v>
      </c>
      <c r="C70" s="28">
        <v>8.0000000000000002E-3</v>
      </c>
    </row>
    <row r="71" spans="1:68" x14ac:dyDescent="0.35">
      <c r="A71" s="25" t="s">
        <v>166</v>
      </c>
      <c r="B71" s="20" t="s">
        <v>149</v>
      </c>
      <c r="C71" s="28">
        <v>1.4999999999999999E-2</v>
      </c>
    </row>
    <row r="73" spans="1:68" x14ac:dyDescent="0.35">
      <c r="A73" s="15" t="s">
        <v>167</v>
      </c>
      <c r="B73" s="20" t="s">
        <v>124</v>
      </c>
      <c r="C73" s="24">
        <f>C46*$C$6</f>
        <v>245</v>
      </c>
      <c r="D73" s="24">
        <f t="shared" ref="D73:AI73" si="28">C77</f>
        <v>2059.2249999999999</v>
      </c>
      <c r="E73" s="24">
        <f t="shared" si="28"/>
        <v>3931.5211249999998</v>
      </c>
      <c r="F73" s="24">
        <f t="shared" si="28"/>
        <v>5862.1787306249989</v>
      </c>
      <c r="G73" s="24">
        <f t="shared" si="28"/>
        <v>7851.4896242781242</v>
      </c>
      <c r="H73" s="24">
        <f t="shared" si="28"/>
        <v>9948.7470723995157</v>
      </c>
      <c r="I73" s="24">
        <f t="shared" si="28"/>
        <v>12154.490807761513</v>
      </c>
      <c r="J73" s="24">
        <f t="shared" si="28"/>
        <v>14469.263261800321</v>
      </c>
      <c r="K73" s="24">
        <f t="shared" si="28"/>
        <v>16844.609578109321</v>
      </c>
      <c r="L73" s="24">
        <f t="shared" si="28"/>
        <v>19329.832625999868</v>
      </c>
      <c r="M73" s="24">
        <f t="shared" si="28"/>
        <v>21925.481789129866</v>
      </c>
      <c r="N73" s="24">
        <f t="shared" si="28"/>
        <v>24730.109198075515</v>
      </c>
      <c r="O73" s="24">
        <f t="shared" si="28"/>
        <v>27646.759744065894</v>
      </c>
      <c r="P73" s="24">
        <f t="shared" si="28"/>
        <v>30675.993542786222</v>
      </c>
      <c r="Q73" s="24">
        <f t="shared" si="28"/>
        <v>33916.373510500154</v>
      </c>
      <c r="R73" s="24">
        <f t="shared" si="28"/>
        <v>37319.955378052655</v>
      </c>
      <c r="S73" s="24">
        <f t="shared" si="28"/>
        <v>40936.555154942915</v>
      </c>
      <c r="T73" s="24">
        <f t="shared" si="28"/>
        <v>44767.237930717631</v>
      </c>
      <c r="U73" s="24">
        <f t="shared" si="28"/>
        <v>48813.074120371217</v>
      </c>
      <c r="V73" s="24">
        <f t="shared" si="28"/>
        <v>53026.139490973073</v>
      </c>
      <c r="W73" s="24">
        <f t="shared" si="28"/>
        <v>57554.270188427938</v>
      </c>
      <c r="X73" s="24">
        <f t="shared" si="28"/>
        <v>62301.041539370075</v>
      </c>
      <c r="Y73" s="24">
        <f t="shared" si="28"/>
        <v>67316.546747066939</v>
      </c>
      <c r="Z73" s="24">
        <f t="shared" si="28"/>
        <v>72749.129480802279</v>
      </c>
      <c r="AA73" s="24">
        <f t="shared" si="28"/>
        <v>78404.875128206288</v>
      </c>
      <c r="AB73" s="24">
        <f t="shared" si="28"/>
        <v>84431.899503847322</v>
      </c>
      <c r="AC73" s="24">
        <f t="shared" si="28"/>
        <v>90881.059001366564</v>
      </c>
      <c r="AD73" s="24">
        <f t="shared" si="28"/>
        <v>97705.464296373393</v>
      </c>
      <c r="AE73" s="24">
        <f t="shared" si="28"/>
        <v>105004.99161785527</v>
      </c>
      <c r="AF73" s="24">
        <f t="shared" si="28"/>
        <v>112782.01657594454</v>
      </c>
      <c r="AG73" s="24">
        <f t="shared" si="28"/>
        <v>121038.92665882426</v>
      </c>
      <c r="AH73" s="24">
        <f t="shared" si="28"/>
        <v>129876.12129211839</v>
      </c>
      <c r="AI73" s="24">
        <f t="shared" si="28"/>
        <v>139247.50189857898</v>
      </c>
      <c r="AJ73" s="24">
        <f t="shared" ref="AJ73:BJ73" si="29">AI77</f>
        <v>149253.73940807188</v>
      </c>
      <c r="AK73" s="24">
        <f t="shared" si="29"/>
        <v>159947.00810511224</v>
      </c>
      <c r="AL73" s="24">
        <f t="shared" si="29"/>
        <v>171330.7431456378</v>
      </c>
      <c r="AM73" s="24">
        <f t="shared" si="29"/>
        <v>183457.396861366</v>
      </c>
      <c r="AN73" s="24">
        <f t="shared" si="29"/>
        <v>179180.68384567281</v>
      </c>
      <c r="AO73" s="24">
        <f t="shared" si="29"/>
        <v>175029.58726490117</v>
      </c>
      <c r="AP73" s="24">
        <f t="shared" si="29"/>
        <v>171053.73520122567</v>
      </c>
      <c r="AQ73" s="24">
        <f t="shared" si="29"/>
        <v>167205.00387723179</v>
      </c>
      <c r="AR73" s="24">
        <f t="shared" si="29"/>
        <v>163435.02889661797</v>
      </c>
      <c r="AS73" s="24">
        <f t="shared" si="29"/>
        <v>159793.20404110107</v>
      </c>
      <c r="AT73" s="24">
        <f t="shared" si="29"/>
        <v>156280.17006130656</v>
      </c>
      <c r="AU73" s="24">
        <f t="shared" si="29"/>
        <v>152896.57091161309</v>
      </c>
      <c r="AV73" s="24">
        <f t="shared" si="29"/>
        <v>149594.05376617116</v>
      </c>
      <c r="AW73" s="24">
        <f t="shared" si="29"/>
        <v>146422.02403500202</v>
      </c>
      <c r="AX73" s="24">
        <f t="shared" si="29"/>
        <v>143332.13415517702</v>
      </c>
      <c r="AY73" s="24">
        <f t="shared" si="29"/>
        <v>140324.79482595291</v>
      </c>
      <c r="AZ73" s="24">
        <f t="shared" si="29"/>
        <v>137449.41880008267</v>
      </c>
      <c r="BA73" s="24">
        <f t="shared" si="29"/>
        <v>134657.6658940831</v>
      </c>
      <c r="BB73" s="24">
        <f t="shared" si="29"/>
        <v>131949.9542235535</v>
      </c>
      <c r="BC73" s="24">
        <f t="shared" si="29"/>
        <v>129326.70399467126</v>
      </c>
      <c r="BD73" s="24">
        <f t="shared" si="29"/>
        <v>126788.33751464462</v>
      </c>
      <c r="BE73" s="24">
        <f t="shared" si="29"/>
        <v>124335.27920221785</v>
      </c>
      <c r="BF73" s="24">
        <f t="shared" si="29"/>
        <v>121967.95559822893</v>
      </c>
      <c r="BG73" s="24">
        <f t="shared" si="29"/>
        <v>119686.79537622008</v>
      </c>
      <c r="BH73" s="24">
        <f t="shared" si="29"/>
        <v>117443.22935310118</v>
      </c>
      <c r="BI73" s="24">
        <f t="shared" si="29"/>
        <v>115286.44549986669</v>
      </c>
      <c r="BJ73" s="24">
        <f t="shared" si="29"/>
        <v>113216.87772736602</v>
      </c>
    </row>
    <row r="74" spans="1:68" x14ac:dyDescent="0.35">
      <c r="A74" s="15" t="s">
        <v>168</v>
      </c>
      <c r="B74" s="20" t="s">
        <v>124</v>
      </c>
      <c r="C74" s="24">
        <f>C47*$C$6</f>
        <v>1813</v>
      </c>
      <c r="D74" s="24">
        <f t="shared" ref="D74:AI74" si="30">D47*$C$6</f>
        <v>1911</v>
      </c>
      <c r="E74" s="24">
        <f t="shared" si="30"/>
        <v>2009</v>
      </c>
      <c r="F74" s="24">
        <f t="shared" si="30"/>
        <v>2156</v>
      </c>
      <c r="G74" s="24">
        <f t="shared" si="30"/>
        <v>2303</v>
      </c>
      <c r="H74" s="24">
        <f t="shared" si="30"/>
        <v>2450</v>
      </c>
      <c r="I74" s="24">
        <f t="shared" si="30"/>
        <v>2597</v>
      </c>
      <c r="J74" s="24">
        <f t="shared" si="30"/>
        <v>2744</v>
      </c>
      <c r="K74" s="24">
        <f t="shared" si="30"/>
        <v>2891</v>
      </c>
      <c r="L74" s="24">
        <f t="shared" si="30"/>
        <v>3087</v>
      </c>
      <c r="M74" s="24">
        <f t="shared" si="30"/>
        <v>3332</v>
      </c>
      <c r="N74" s="24">
        <f t="shared" si="30"/>
        <v>3528</v>
      </c>
      <c r="O74" s="24">
        <f t="shared" si="30"/>
        <v>3724</v>
      </c>
      <c r="P74" s="24">
        <f t="shared" si="30"/>
        <v>3969</v>
      </c>
      <c r="Q74" s="24">
        <f t="shared" si="30"/>
        <v>4214</v>
      </c>
      <c r="R74" s="24">
        <f t="shared" si="30"/>
        <v>4508</v>
      </c>
      <c r="S74" s="24">
        <f t="shared" si="30"/>
        <v>4802</v>
      </c>
      <c r="T74" s="24">
        <f t="shared" si="30"/>
        <v>5096</v>
      </c>
      <c r="U74" s="24">
        <f t="shared" si="30"/>
        <v>5390</v>
      </c>
      <c r="V74" s="24">
        <f t="shared" si="30"/>
        <v>5782</v>
      </c>
      <c r="W74" s="24">
        <f t="shared" si="30"/>
        <v>6125</v>
      </c>
      <c r="X74" s="24">
        <f t="shared" si="30"/>
        <v>6517</v>
      </c>
      <c r="Y74" s="24">
        <f t="shared" si="30"/>
        <v>7007</v>
      </c>
      <c r="Z74" s="24">
        <f t="shared" si="30"/>
        <v>7399</v>
      </c>
      <c r="AA74" s="24">
        <f t="shared" si="30"/>
        <v>7889</v>
      </c>
      <c r="AB74" s="24">
        <f t="shared" si="30"/>
        <v>8428</v>
      </c>
      <c r="AC74" s="24">
        <f t="shared" si="30"/>
        <v>8967</v>
      </c>
      <c r="AD74" s="24">
        <f t="shared" si="30"/>
        <v>9604</v>
      </c>
      <c r="AE74" s="24">
        <f t="shared" si="30"/>
        <v>10241</v>
      </c>
      <c r="AF74" s="24">
        <f t="shared" si="30"/>
        <v>10878</v>
      </c>
      <c r="AG74" s="24">
        <f t="shared" si="30"/>
        <v>11662</v>
      </c>
      <c r="AH74" s="24">
        <f t="shared" si="30"/>
        <v>12397</v>
      </c>
      <c r="AI74" s="24">
        <f t="shared" si="30"/>
        <v>13279</v>
      </c>
      <c r="AJ74" s="24">
        <f t="shared" ref="AJ74:BJ74" si="31">AJ47*$C$6</f>
        <v>14161</v>
      </c>
      <c r="AK74" s="24">
        <f t="shared" si="31"/>
        <v>15092</v>
      </c>
      <c r="AL74" s="24">
        <f t="shared" si="31"/>
        <v>16121</v>
      </c>
      <c r="AM74" s="24">
        <f t="shared" si="31"/>
        <v>0</v>
      </c>
      <c r="AN74" s="24">
        <f t="shared" si="31"/>
        <v>0</v>
      </c>
      <c r="AO74" s="24">
        <f t="shared" si="31"/>
        <v>0</v>
      </c>
      <c r="AP74" s="24">
        <f t="shared" si="31"/>
        <v>0</v>
      </c>
      <c r="AQ74" s="24">
        <f t="shared" si="31"/>
        <v>0</v>
      </c>
      <c r="AR74" s="24">
        <f t="shared" si="31"/>
        <v>0</v>
      </c>
      <c r="AS74" s="24">
        <f t="shared" si="31"/>
        <v>0</v>
      </c>
      <c r="AT74" s="24">
        <f t="shared" si="31"/>
        <v>0</v>
      </c>
      <c r="AU74" s="24">
        <f t="shared" si="31"/>
        <v>0</v>
      </c>
      <c r="AV74" s="24">
        <f t="shared" si="31"/>
        <v>0</v>
      </c>
      <c r="AW74" s="24">
        <f t="shared" si="31"/>
        <v>0</v>
      </c>
      <c r="AX74" s="24">
        <f t="shared" si="31"/>
        <v>0</v>
      </c>
      <c r="AY74" s="24">
        <f t="shared" si="31"/>
        <v>0</v>
      </c>
      <c r="AZ74" s="24">
        <f t="shared" si="31"/>
        <v>0</v>
      </c>
      <c r="BA74" s="24">
        <f t="shared" si="31"/>
        <v>0</v>
      </c>
      <c r="BB74" s="24">
        <f t="shared" si="31"/>
        <v>0</v>
      </c>
      <c r="BC74" s="24">
        <f t="shared" si="31"/>
        <v>0</v>
      </c>
      <c r="BD74" s="24">
        <f t="shared" si="31"/>
        <v>0</v>
      </c>
      <c r="BE74" s="24">
        <f t="shared" si="31"/>
        <v>0</v>
      </c>
      <c r="BF74" s="24">
        <f t="shared" si="31"/>
        <v>0</v>
      </c>
      <c r="BG74" s="24">
        <f t="shared" si="31"/>
        <v>0</v>
      </c>
      <c r="BH74" s="24">
        <f t="shared" si="31"/>
        <v>0</v>
      </c>
      <c r="BI74" s="24">
        <f t="shared" si="31"/>
        <v>0</v>
      </c>
      <c r="BJ74" s="24">
        <f t="shared" si="31"/>
        <v>0</v>
      </c>
    </row>
    <row r="75" spans="1:68" x14ac:dyDescent="0.35">
      <c r="A75" s="15" t="s">
        <v>169</v>
      </c>
      <c r="B75" s="20" t="s">
        <v>124</v>
      </c>
      <c r="C75" s="24">
        <f t="shared" ref="C75:AH75" si="32">C73*$C$69</f>
        <v>1.2250000000000001</v>
      </c>
      <c r="D75" s="24">
        <f t="shared" si="32"/>
        <v>10.296125</v>
      </c>
      <c r="E75" s="24">
        <f t="shared" si="32"/>
        <v>19.657605624999999</v>
      </c>
      <c r="F75" s="24">
        <f t="shared" si="32"/>
        <v>29.310893653124996</v>
      </c>
      <c r="G75" s="24">
        <f t="shared" si="32"/>
        <v>39.257448121390624</v>
      </c>
      <c r="H75" s="24">
        <f t="shared" si="32"/>
        <v>49.74373536199758</v>
      </c>
      <c r="I75" s="24">
        <f t="shared" si="32"/>
        <v>60.772454038807567</v>
      </c>
      <c r="J75" s="24">
        <f t="shared" si="32"/>
        <v>72.346316309001608</v>
      </c>
      <c r="K75" s="24">
        <f t="shared" si="32"/>
        <v>84.22304789054661</v>
      </c>
      <c r="L75" s="24">
        <f t="shared" si="32"/>
        <v>96.649163129999351</v>
      </c>
      <c r="M75" s="24">
        <f t="shared" si="32"/>
        <v>109.62740894564934</v>
      </c>
      <c r="N75" s="24">
        <f t="shared" si="32"/>
        <v>123.65054599037758</v>
      </c>
      <c r="O75" s="24">
        <f t="shared" si="32"/>
        <v>138.23379872032947</v>
      </c>
      <c r="P75" s="24">
        <f t="shared" si="32"/>
        <v>153.37996771393111</v>
      </c>
      <c r="Q75" s="24">
        <f t="shared" si="32"/>
        <v>169.58186755250077</v>
      </c>
      <c r="R75" s="24">
        <f t="shared" si="32"/>
        <v>186.59977689026329</v>
      </c>
      <c r="S75" s="24">
        <f t="shared" si="32"/>
        <v>204.68277577471457</v>
      </c>
      <c r="T75" s="24">
        <f t="shared" si="32"/>
        <v>223.83618965358815</v>
      </c>
      <c r="U75" s="24">
        <f t="shared" si="32"/>
        <v>244.0653706018561</v>
      </c>
      <c r="V75" s="24">
        <f t="shared" si="32"/>
        <v>265.13069745486536</v>
      </c>
      <c r="W75" s="24">
        <f t="shared" si="32"/>
        <v>287.77135094213969</v>
      </c>
      <c r="X75" s="24">
        <f t="shared" si="32"/>
        <v>311.50520769685039</v>
      </c>
      <c r="Y75" s="24">
        <f t="shared" si="32"/>
        <v>336.58273373533473</v>
      </c>
      <c r="Z75" s="24">
        <f t="shared" si="32"/>
        <v>363.74564740401138</v>
      </c>
      <c r="AA75" s="24">
        <f t="shared" si="32"/>
        <v>392.02437564103144</v>
      </c>
      <c r="AB75" s="24">
        <f t="shared" si="32"/>
        <v>422.1594975192366</v>
      </c>
      <c r="AC75" s="24">
        <f t="shared" si="32"/>
        <v>454.40529500683283</v>
      </c>
      <c r="AD75" s="24">
        <f t="shared" si="32"/>
        <v>488.52732148186698</v>
      </c>
      <c r="AE75" s="24">
        <f t="shared" si="32"/>
        <v>525.02495808927631</v>
      </c>
      <c r="AF75" s="24">
        <f t="shared" si="32"/>
        <v>563.91008287972272</v>
      </c>
      <c r="AG75" s="24">
        <f t="shared" si="32"/>
        <v>605.19463329412133</v>
      </c>
      <c r="AH75" s="24">
        <f t="shared" si="32"/>
        <v>649.38060646059193</v>
      </c>
      <c r="AI75" s="24">
        <f t="shared" ref="AI75:BJ75" si="33">AI73*$C$69</f>
        <v>696.2375094928949</v>
      </c>
      <c r="AJ75" s="24">
        <f t="shared" si="33"/>
        <v>746.26869704035937</v>
      </c>
      <c r="AK75" s="24">
        <f t="shared" si="33"/>
        <v>799.7350405255612</v>
      </c>
      <c r="AL75" s="24">
        <f t="shared" si="33"/>
        <v>856.65371572818901</v>
      </c>
      <c r="AM75" s="24">
        <f t="shared" si="33"/>
        <v>917.28698430683005</v>
      </c>
      <c r="AN75" s="24">
        <f t="shared" si="33"/>
        <v>895.9034192283641</v>
      </c>
      <c r="AO75" s="24">
        <f t="shared" si="33"/>
        <v>875.14793632450585</v>
      </c>
      <c r="AP75" s="24">
        <f t="shared" si="33"/>
        <v>855.26867600612843</v>
      </c>
      <c r="AQ75" s="24">
        <f t="shared" si="33"/>
        <v>836.02501938615899</v>
      </c>
      <c r="AR75" s="24">
        <f t="shared" si="33"/>
        <v>817.17514448308987</v>
      </c>
      <c r="AS75" s="24">
        <f t="shared" si="33"/>
        <v>798.9660202055054</v>
      </c>
      <c r="AT75" s="24">
        <f t="shared" si="33"/>
        <v>781.40085030653279</v>
      </c>
      <c r="AU75" s="24">
        <f t="shared" si="33"/>
        <v>764.48285455806547</v>
      </c>
      <c r="AV75" s="24">
        <f t="shared" si="33"/>
        <v>747.97026883085584</v>
      </c>
      <c r="AW75" s="24">
        <f t="shared" si="33"/>
        <v>732.11012017501014</v>
      </c>
      <c r="AX75" s="24">
        <f t="shared" si="33"/>
        <v>716.66067077588514</v>
      </c>
      <c r="AY75" s="24">
        <f t="shared" si="33"/>
        <v>701.62397412976452</v>
      </c>
      <c r="AZ75" s="24">
        <f t="shared" si="33"/>
        <v>687.24709400041331</v>
      </c>
      <c r="BA75" s="24">
        <f t="shared" si="33"/>
        <v>673.28832947041553</v>
      </c>
      <c r="BB75" s="24">
        <f t="shared" si="33"/>
        <v>659.74977111776752</v>
      </c>
      <c r="BC75" s="24">
        <f t="shared" si="33"/>
        <v>646.63351997335633</v>
      </c>
      <c r="BD75" s="24">
        <f t="shared" si="33"/>
        <v>633.94168757322313</v>
      </c>
      <c r="BE75" s="24">
        <f t="shared" si="33"/>
        <v>621.6763960110892</v>
      </c>
      <c r="BF75" s="24">
        <f t="shared" si="33"/>
        <v>609.83977799114462</v>
      </c>
      <c r="BG75" s="24">
        <f t="shared" si="33"/>
        <v>598.43397688110042</v>
      </c>
      <c r="BH75" s="24">
        <f t="shared" si="33"/>
        <v>587.21614676550587</v>
      </c>
      <c r="BI75" s="24">
        <f t="shared" si="33"/>
        <v>576.43222749933352</v>
      </c>
      <c r="BJ75" s="24">
        <f t="shared" si="33"/>
        <v>566.08438863683011</v>
      </c>
    </row>
    <row r="76" spans="1:68" x14ac:dyDescent="0.35">
      <c r="A76" s="15" t="s">
        <v>170</v>
      </c>
      <c r="B76" s="20" t="s">
        <v>124</v>
      </c>
      <c r="C76" s="24">
        <f t="shared" ref="C76:AH76" si="34">C48*$C$6</f>
        <v>0</v>
      </c>
      <c r="D76" s="24">
        <f t="shared" si="34"/>
        <v>-49</v>
      </c>
      <c r="E76" s="24">
        <f t="shared" si="34"/>
        <v>-98</v>
      </c>
      <c r="F76" s="24">
        <f t="shared" si="34"/>
        <v>-196</v>
      </c>
      <c r="G76" s="24">
        <f t="shared" si="34"/>
        <v>-245</v>
      </c>
      <c r="H76" s="24">
        <f t="shared" si="34"/>
        <v>-294</v>
      </c>
      <c r="I76" s="24">
        <f t="shared" si="34"/>
        <v>-343</v>
      </c>
      <c r="J76" s="24">
        <f t="shared" si="34"/>
        <v>-441</v>
      </c>
      <c r="K76" s="24">
        <f t="shared" si="34"/>
        <v>-490</v>
      </c>
      <c r="L76" s="24">
        <f t="shared" si="34"/>
        <v>-588</v>
      </c>
      <c r="M76" s="24">
        <f t="shared" si="34"/>
        <v>-637</v>
      </c>
      <c r="N76" s="24">
        <f t="shared" si="34"/>
        <v>-735</v>
      </c>
      <c r="O76" s="24">
        <f t="shared" si="34"/>
        <v>-833</v>
      </c>
      <c r="P76" s="24">
        <f t="shared" si="34"/>
        <v>-882</v>
      </c>
      <c r="Q76" s="24">
        <f t="shared" si="34"/>
        <v>-980</v>
      </c>
      <c r="R76" s="24">
        <f t="shared" si="34"/>
        <v>-1078</v>
      </c>
      <c r="S76" s="24">
        <f t="shared" si="34"/>
        <v>-1176</v>
      </c>
      <c r="T76" s="24">
        <f t="shared" si="34"/>
        <v>-1274</v>
      </c>
      <c r="U76" s="24">
        <f t="shared" si="34"/>
        <v>-1421</v>
      </c>
      <c r="V76" s="24">
        <f t="shared" si="34"/>
        <v>-1519</v>
      </c>
      <c r="W76" s="24">
        <f t="shared" si="34"/>
        <v>-1666</v>
      </c>
      <c r="X76" s="24">
        <f t="shared" si="34"/>
        <v>-1813</v>
      </c>
      <c r="Y76" s="24">
        <f t="shared" si="34"/>
        <v>-1911</v>
      </c>
      <c r="Z76" s="24">
        <f t="shared" si="34"/>
        <v>-2107</v>
      </c>
      <c r="AA76" s="24">
        <f t="shared" si="34"/>
        <v>-2254</v>
      </c>
      <c r="AB76" s="24">
        <f t="shared" si="34"/>
        <v>-2401</v>
      </c>
      <c r="AC76" s="24">
        <f t="shared" si="34"/>
        <v>-2597</v>
      </c>
      <c r="AD76" s="24">
        <f t="shared" si="34"/>
        <v>-2793</v>
      </c>
      <c r="AE76" s="24">
        <f t="shared" si="34"/>
        <v>-2989</v>
      </c>
      <c r="AF76" s="24">
        <f t="shared" si="34"/>
        <v>-3185</v>
      </c>
      <c r="AG76" s="24">
        <f t="shared" si="34"/>
        <v>-3430</v>
      </c>
      <c r="AH76" s="24">
        <f t="shared" si="34"/>
        <v>-3675</v>
      </c>
      <c r="AI76" s="24">
        <f t="shared" ref="AI76:BJ76" si="35">AI48*$C$6</f>
        <v>-3969</v>
      </c>
      <c r="AJ76" s="24">
        <f t="shared" si="35"/>
        <v>-4214</v>
      </c>
      <c r="AK76" s="24">
        <f t="shared" si="35"/>
        <v>-4508</v>
      </c>
      <c r="AL76" s="24">
        <f t="shared" si="35"/>
        <v>-4851</v>
      </c>
      <c r="AM76" s="24">
        <f t="shared" si="35"/>
        <v>-5194</v>
      </c>
      <c r="AN76" s="24">
        <f t="shared" si="35"/>
        <v>-5047</v>
      </c>
      <c r="AO76" s="24">
        <f t="shared" si="35"/>
        <v>-4851</v>
      </c>
      <c r="AP76" s="24">
        <f t="shared" si="35"/>
        <v>-4704</v>
      </c>
      <c r="AQ76" s="24">
        <f t="shared" si="35"/>
        <v>-4606</v>
      </c>
      <c r="AR76" s="24">
        <f t="shared" si="35"/>
        <v>-4459</v>
      </c>
      <c r="AS76" s="24">
        <f t="shared" si="35"/>
        <v>-4312</v>
      </c>
      <c r="AT76" s="24">
        <f t="shared" si="35"/>
        <v>-4165</v>
      </c>
      <c r="AU76" s="24">
        <f t="shared" si="35"/>
        <v>-4067</v>
      </c>
      <c r="AV76" s="24">
        <f t="shared" si="35"/>
        <v>-3920</v>
      </c>
      <c r="AW76" s="24">
        <f t="shared" si="35"/>
        <v>-3822</v>
      </c>
      <c r="AX76" s="24">
        <f t="shared" si="35"/>
        <v>-3724</v>
      </c>
      <c r="AY76" s="24">
        <f t="shared" si="35"/>
        <v>-3577</v>
      </c>
      <c r="AZ76" s="24">
        <f t="shared" si="35"/>
        <v>-3479</v>
      </c>
      <c r="BA76" s="24">
        <f t="shared" si="35"/>
        <v>-3381</v>
      </c>
      <c r="BB76" s="24">
        <f t="shared" si="35"/>
        <v>-3283</v>
      </c>
      <c r="BC76" s="24">
        <f t="shared" si="35"/>
        <v>-3185</v>
      </c>
      <c r="BD76" s="24">
        <f t="shared" si="35"/>
        <v>-3087</v>
      </c>
      <c r="BE76" s="24">
        <f t="shared" si="35"/>
        <v>-2989</v>
      </c>
      <c r="BF76" s="24">
        <f t="shared" si="35"/>
        <v>-2891</v>
      </c>
      <c r="BG76" s="24">
        <f t="shared" si="35"/>
        <v>-2842</v>
      </c>
      <c r="BH76" s="24">
        <f t="shared" si="35"/>
        <v>-2744</v>
      </c>
      <c r="BI76" s="24">
        <f t="shared" si="35"/>
        <v>-2646</v>
      </c>
      <c r="BJ76" s="24">
        <f t="shared" si="35"/>
        <v>-2548</v>
      </c>
    </row>
    <row r="77" spans="1:68" x14ac:dyDescent="0.35">
      <c r="A77" s="6" t="s">
        <v>171</v>
      </c>
      <c r="B77" s="20" t="s">
        <v>124</v>
      </c>
      <c r="C77" s="24">
        <f t="shared" ref="C77:AH77" si="36">C73+C74+C75+C76</f>
        <v>2059.2249999999999</v>
      </c>
      <c r="D77" s="24">
        <f t="shared" si="36"/>
        <v>3931.5211249999998</v>
      </c>
      <c r="E77" s="24">
        <f t="shared" si="36"/>
        <v>5862.1787306249989</v>
      </c>
      <c r="F77" s="24">
        <f t="shared" si="36"/>
        <v>7851.4896242781242</v>
      </c>
      <c r="G77" s="24">
        <f t="shared" si="36"/>
        <v>9948.7470723995157</v>
      </c>
      <c r="H77" s="24">
        <f t="shared" si="36"/>
        <v>12154.490807761513</v>
      </c>
      <c r="I77" s="24">
        <f t="shared" si="36"/>
        <v>14469.263261800321</v>
      </c>
      <c r="J77" s="24">
        <f t="shared" si="36"/>
        <v>16844.609578109321</v>
      </c>
      <c r="K77" s="24">
        <f t="shared" si="36"/>
        <v>19329.832625999868</v>
      </c>
      <c r="L77" s="24">
        <f t="shared" si="36"/>
        <v>21925.481789129866</v>
      </c>
      <c r="M77" s="24">
        <f t="shared" si="36"/>
        <v>24730.109198075515</v>
      </c>
      <c r="N77" s="24">
        <f t="shared" si="36"/>
        <v>27646.759744065894</v>
      </c>
      <c r="O77" s="24">
        <f t="shared" si="36"/>
        <v>30675.993542786222</v>
      </c>
      <c r="P77" s="24">
        <f t="shared" si="36"/>
        <v>33916.373510500154</v>
      </c>
      <c r="Q77" s="24">
        <f t="shared" si="36"/>
        <v>37319.955378052655</v>
      </c>
      <c r="R77" s="24">
        <f t="shared" si="36"/>
        <v>40936.555154942915</v>
      </c>
      <c r="S77" s="24">
        <f t="shared" si="36"/>
        <v>44767.237930717631</v>
      </c>
      <c r="T77" s="24">
        <f t="shared" si="36"/>
        <v>48813.074120371217</v>
      </c>
      <c r="U77" s="24">
        <f t="shared" si="36"/>
        <v>53026.139490973073</v>
      </c>
      <c r="V77" s="24">
        <f t="shared" si="36"/>
        <v>57554.270188427938</v>
      </c>
      <c r="W77" s="24">
        <f t="shared" si="36"/>
        <v>62301.041539370075</v>
      </c>
      <c r="X77" s="24">
        <f t="shared" si="36"/>
        <v>67316.546747066939</v>
      </c>
      <c r="Y77" s="24">
        <f t="shared" si="36"/>
        <v>72749.129480802279</v>
      </c>
      <c r="Z77" s="24">
        <f t="shared" si="36"/>
        <v>78404.875128206288</v>
      </c>
      <c r="AA77" s="24">
        <f t="shared" si="36"/>
        <v>84431.899503847322</v>
      </c>
      <c r="AB77" s="24">
        <f t="shared" si="36"/>
        <v>90881.059001366564</v>
      </c>
      <c r="AC77" s="24">
        <f t="shared" si="36"/>
        <v>97705.464296373393</v>
      </c>
      <c r="AD77" s="24">
        <f t="shared" si="36"/>
        <v>105004.99161785527</v>
      </c>
      <c r="AE77" s="24">
        <f t="shared" si="36"/>
        <v>112782.01657594454</v>
      </c>
      <c r="AF77" s="24">
        <f t="shared" si="36"/>
        <v>121038.92665882426</v>
      </c>
      <c r="AG77" s="24">
        <f t="shared" si="36"/>
        <v>129876.12129211839</v>
      </c>
      <c r="AH77" s="24">
        <f t="shared" si="36"/>
        <v>139247.50189857898</v>
      </c>
      <c r="AI77" s="24">
        <f t="shared" ref="AI77:BJ77" si="37">AI73+AI74+AI75+AI76</f>
        <v>149253.73940807188</v>
      </c>
      <c r="AJ77" s="24">
        <f t="shared" si="37"/>
        <v>159947.00810511224</v>
      </c>
      <c r="AK77" s="24">
        <f t="shared" si="37"/>
        <v>171330.7431456378</v>
      </c>
      <c r="AL77" s="24">
        <f t="shared" si="37"/>
        <v>183457.396861366</v>
      </c>
      <c r="AM77" s="24">
        <f t="shared" si="37"/>
        <v>179180.68384567281</v>
      </c>
      <c r="AN77" s="24">
        <f t="shared" si="37"/>
        <v>175029.58726490117</v>
      </c>
      <c r="AO77" s="24">
        <f t="shared" si="37"/>
        <v>171053.73520122567</v>
      </c>
      <c r="AP77" s="24">
        <f t="shared" si="37"/>
        <v>167205.00387723179</v>
      </c>
      <c r="AQ77" s="24">
        <f t="shared" si="37"/>
        <v>163435.02889661797</v>
      </c>
      <c r="AR77" s="24">
        <f t="shared" si="37"/>
        <v>159793.20404110107</v>
      </c>
      <c r="AS77" s="24">
        <f t="shared" si="37"/>
        <v>156280.17006130656</v>
      </c>
      <c r="AT77" s="24">
        <f t="shared" si="37"/>
        <v>152896.57091161309</v>
      </c>
      <c r="AU77" s="24">
        <f t="shared" si="37"/>
        <v>149594.05376617116</v>
      </c>
      <c r="AV77" s="24">
        <f t="shared" si="37"/>
        <v>146422.02403500202</v>
      </c>
      <c r="AW77" s="24">
        <f t="shared" si="37"/>
        <v>143332.13415517702</v>
      </c>
      <c r="AX77" s="24">
        <f t="shared" si="37"/>
        <v>140324.79482595291</v>
      </c>
      <c r="AY77" s="24">
        <f t="shared" si="37"/>
        <v>137449.41880008267</v>
      </c>
      <c r="AZ77" s="24">
        <f t="shared" si="37"/>
        <v>134657.6658940831</v>
      </c>
      <c r="BA77" s="24">
        <f t="shared" si="37"/>
        <v>131949.9542235535</v>
      </c>
      <c r="BB77" s="24">
        <f t="shared" si="37"/>
        <v>129326.70399467126</v>
      </c>
      <c r="BC77" s="24">
        <f t="shared" si="37"/>
        <v>126788.33751464462</v>
      </c>
      <c r="BD77" s="24">
        <f t="shared" si="37"/>
        <v>124335.27920221785</v>
      </c>
      <c r="BE77" s="24">
        <f t="shared" si="37"/>
        <v>121967.95559822893</v>
      </c>
      <c r="BF77" s="24">
        <f t="shared" si="37"/>
        <v>119686.79537622008</v>
      </c>
      <c r="BG77" s="24">
        <f t="shared" si="37"/>
        <v>117443.22935310118</v>
      </c>
      <c r="BH77" s="24">
        <f t="shared" si="37"/>
        <v>115286.44549986669</v>
      </c>
      <c r="BI77" s="24">
        <f t="shared" si="37"/>
        <v>113216.87772736602</v>
      </c>
      <c r="BJ77" s="24">
        <f t="shared" si="37"/>
        <v>111234.96211600285</v>
      </c>
      <c r="BK77" s="24">
        <f>IFERROR(LOOKUP(2,1/((YEAR(EDATE(Controls!$B$6,COLUMN($C$1:$BJ$1)-COLUMN($C$1)))=YEAR(Controls!$B$6)+0)*(COLUMN($C$1:$BJ$1)-COLUMN($C$1)&lt;Controls!$B$7)),$C$77:$BJ$77),0)</f>
        <v>27646.759744065894</v>
      </c>
      <c r="BL77" s="24">
        <f>IFERROR(LOOKUP(2,1/((YEAR(EDATE(Controls!$B$6,COLUMN($C$1:$BJ$1)-COLUMN($C$1)))=YEAR(Controls!$B$6)+1)*(COLUMN($C$1:$BJ$1)-COLUMN($C$1)&lt;Controls!$B$7)),$C$77:$BJ$77),0)</f>
        <v>78404.875128206288</v>
      </c>
      <c r="BM77" s="24">
        <f>IFERROR(LOOKUP(2,1/((YEAR(EDATE(Controls!$B$6,COLUMN($C$1:$BJ$1)-COLUMN($C$1)))=YEAR(Controls!$B$6)+2)*(COLUMN($C$1:$BJ$1)-COLUMN($C$1)&lt;Controls!$B$7)),$C$77:$BJ$77),0)</f>
        <v>183457.396861366</v>
      </c>
      <c r="BN77" s="24">
        <f>IFERROR(LOOKUP(2,1/((YEAR(EDATE(Controls!$B$6,COLUMN($C$1:$BJ$1)-COLUMN($C$1)))=YEAR(Controls!$B$6)+3)*(COLUMN($C$1:$BJ$1)-COLUMN($C$1)&lt;Controls!$B$7)),$C$77:$BJ$77),0)</f>
        <v>0</v>
      </c>
      <c r="BO77" s="24">
        <f>IFERROR(LOOKUP(2,1/((YEAR(EDATE(Controls!$B$6,COLUMN($C$1:$BJ$1)-COLUMN($C$1)))=YEAR(Controls!$B$6)+4)*(COLUMN($C$1:$BJ$1)-COLUMN($C$1)&lt;Controls!$B$7)),$C$77:$BJ$77),0)</f>
        <v>0</v>
      </c>
      <c r="BP77" s="24">
        <f>IFERROR(LOOKUP(2,1/((YEAR(EDATE(Controls!$B$6,COLUMN($C$1:$BJ$1)-COLUMN($C$1)))=YEAR(Controls!$B$6)+5)*(COLUMN($C$1:$BJ$1)-COLUMN($C$1)&lt;Controls!$B$7)),$C$77:$BJ$77),0)</f>
        <v>0</v>
      </c>
    </row>
    <row r="79" spans="1:68" x14ac:dyDescent="0.35">
      <c r="A79" s="15" t="s">
        <v>172</v>
      </c>
      <c r="B79" s="20" t="s">
        <v>124</v>
      </c>
      <c r="C79" s="24">
        <f>C53*$C$7</f>
        <v>298</v>
      </c>
      <c r="D79" s="24">
        <f t="shared" ref="D79:AI79" si="38">C83</f>
        <v>3131.384</v>
      </c>
      <c r="E79" s="24">
        <f t="shared" si="38"/>
        <v>6136.4350720000002</v>
      </c>
      <c r="F79" s="24">
        <f t="shared" si="38"/>
        <v>9165.5265525760005</v>
      </c>
      <c r="G79" s="24">
        <f t="shared" si="38"/>
        <v>12367.850764996609</v>
      </c>
      <c r="H79" s="24">
        <f t="shared" si="38"/>
        <v>15744.793571116581</v>
      </c>
      <c r="I79" s="24">
        <f t="shared" si="38"/>
        <v>19297.751919685514</v>
      </c>
      <c r="J79" s="24">
        <f t="shared" si="38"/>
        <v>22879.133935042999</v>
      </c>
      <c r="K79" s="24">
        <f t="shared" si="38"/>
        <v>26787.167006523341</v>
      </c>
      <c r="L79" s="24">
        <f t="shared" si="38"/>
        <v>30875.464342575528</v>
      </c>
      <c r="M79" s="24">
        <f t="shared" si="38"/>
        <v>35294.468057316131</v>
      </c>
      <c r="N79" s="24">
        <f t="shared" si="38"/>
        <v>39897.823801774663</v>
      </c>
      <c r="O79" s="24">
        <f t="shared" si="38"/>
        <v>44836.006392188858</v>
      </c>
      <c r="P79" s="24">
        <f t="shared" si="38"/>
        <v>49962.694443326371</v>
      </c>
      <c r="Q79" s="24">
        <f t="shared" si="38"/>
        <v>55577.395998872984</v>
      </c>
      <c r="R79" s="24">
        <f t="shared" si="38"/>
        <v>61386.015166863966</v>
      </c>
      <c r="S79" s="24">
        <f t="shared" si="38"/>
        <v>67539.103288198879</v>
      </c>
      <c r="T79" s="24">
        <f t="shared" si="38"/>
        <v>74039.416114504464</v>
      </c>
      <c r="U79" s="24">
        <f t="shared" si="38"/>
        <v>81038.731443420504</v>
      </c>
      <c r="V79" s="24">
        <f t="shared" si="38"/>
        <v>88392.041294967872</v>
      </c>
      <c r="W79" s="24">
        <f t="shared" si="38"/>
        <v>96251.177625327618</v>
      </c>
      <c r="X79" s="24">
        <f t="shared" si="38"/>
        <v>104620.18704633023</v>
      </c>
      <c r="Y79" s="24">
        <f t="shared" si="38"/>
        <v>113503.14854270087</v>
      </c>
      <c r="Z79" s="24">
        <f t="shared" si="38"/>
        <v>122904.17373104248</v>
      </c>
      <c r="AA79" s="24">
        <f t="shared" si="38"/>
        <v>132976.40712089083</v>
      </c>
      <c r="AB79" s="24">
        <f t="shared" si="38"/>
        <v>143576.21837785796</v>
      </c>
      <c r="AC79" s="24">
        <f t="shared" si="38"/>
        <v>154856.82812488082</v>
      </c>
      <c r="AD79" s="24">
        <f t="shared" si="38"/>
        <v>166972.68274987987</v>
      </c>
      <c r="AE79" s="24">
        <f t="shared" si="38"/>
        <v>179781.46421187892</v>
      </c>
      <c r="AF79" s="24">
        <f t="shared" si="38"/>
        <v>193437.71592557395</v>
      </c>
      <c r="AG79" s="24">
        <f t="shared" si="38"/>
        <v>207948.21765297855</v>
      </c>
      <c r="AH79" s="24">
        <f t="shared" si="38"/>
        <v>223468.80339420238</v>
      </c>
      <c r="AI79" s="24">
        <f t="shared" si="38"/>
        <v>240156.55382135601</v>
      </c>
      <c r="AJ79" s="24">
        <f t="shared" ref="AJ79:BJ79" si="39">AI83</f>
        <v>257871.80625192687</v>
      </c>
      <c r="AK79" s="24">
        <f t="shared" si="39"/>
        <v>276622.78070194228</v>
      </c>
      <c r="AL79" s="24">
        <f t="shared" si="39"/>
        <v>296715.76294755784</v>
      </c>
      <c r="AM79" s="24">
        <f t="shared" si="39"/>
        <v>318161.48905113828</v>
      </c>
      <c r="AN79" s="24">
        <f t="shared" si="39"/>
        <v>314895.78096354741</v>
      </c>
      <c r="AO79" s="24">
        <f t="shared" si="39"/>
        <v>311752.94721125579</v>
      </c>
      <c r="AP79" s="24">
        <f t="shared" si="39"/>
        <v>308733.97078894585</v>
      </c>
      <c r="AQ79" s="24">
        <f t="shared" si="39"/>
        <v>305690.84255525743</v>
      </c>
      <c r="AR79" s="24">
        <f t="shared" si="39"/>
        <v>302772.36929569952</v>
      </c>
      <c r="AS79" s="24">
        <f t="shared" si="39"/>
        <v>299979.54825006513</v>
      </c>
      <c r="AT79" s="24">
        <f t="shared" si="39"/>
        <v>297313.38463606563</v>
      </c>
      <c r="AU79" s="24">
        <f t="shared" si="39"/>
        <v>294625.89171315415</v>
      </c>
      <c r="AV79" s="24">
        <f t="shared" si="39"/>
        <v>292065.8988468594</v>
      </c>
      <c r="AW79" s="24">
        <f t="shared" si="39"/>
        <v>289634.42603763426</v>
      </c>
      <c r="AX79" s="24">
        <f t="shared" si="39"/>
        <v>287183.50144593534</v>
      </c>
      <c r="AY79" s="24">
        <f t="shared" si="39"/>
        <v>284861.96945750283</v>
      </c>
      <c r="AZ79" s="24">
        <f t="shared" si="39"/>
        <v>282670.86521316285</v>
      </c>
      <c r="BA79" s="24">
        <f t="shared" si="39"/>
        <v>280462.23213486816</v>
      </c>
      <c r="BB79" s="24">
        <f t="shared" si="39"/>
        <v>278384.92999194708</v>
      </c>
      <c r="BC79" s="24">
        <f t="shared" si="39"/>
        <v>276291.00943188265</v>
      </c>
      <c r="BD79" s="24">
        <f t="shared" si="39"/>
        <v>274329.33750733768</v>
      </c>
      <c r="BE79" s="24">
        <f t="shared" si="39"/>
        <v>272351.97220739641</v>
      </c>
      <c r="BF79" s="24">
        <f t="shared" si="39"/>
        <v>270507.78798505559</v>
      </c>
      <c r="BG79" s="24">
        <f t="shared" si="39"/>
        <v>268797.85028893605</v>
      </c>
      <c r="BH79" s="24">
        <f t="shared" si="39"/>
        <v>267074.23309124756</v>
      </c>
      <c r="BI79" s="24">
        <f t="shared" si="39"/>
        <v>265485.82695597754</v>
      </c>
      <c r="BJ79" s="24">
        <f t="shared" si="39"/>
        <v>263884.71357162535</v>
      </c>
    </row>
    <row r="80" spans="1:68" x14ac:dyDescent="0.35">
      <c r="A80" s="15" t="s">
        <v>173</v>
      </c>
      <c r="B80" s="20" t="s">
        <v>124</v>
      </c>
      <c r="C80" s="24">
        <f>C54*$C$7</f>
        <v>2831</v>
      </c>
      <c r="D80" s="24">
        <f t="shared" ref="D80:AI80" si="40">D54*$C$7</f>
        <v>2980</v>
      </c>
      <c r="E80" s="24">
        <f t="shared" si="40"/>
        <v>3129</v>
      </c>
      <c r="F80" s="24">
        <f t="shared" si="40"/>
        <v>3278</v>
      </c>
      <c r="G80" s="24">
        <f t="shared" si="40"/>
        <v>3576</v>
      </c>
      <c r="H80" s="24">
        <f t="shared" si="40"/>
        <v>3725</v>
      </c>
      <c r="I80" s="24">
        <f t="shared" si="40"/>
        <v>3874</v>
      </c>
      <c r="J80" s="24">
        <f t="shared" si="40"/>
        <v>4172</v>
      </c>
      <c r="K80" s="24">
        <f t="shared" si="40"/>
        <v>4470</v>
      </c>
      <c r="L80" s="24">
        <f t="shared" si="40"/>
        <v>4768</v>
      </c>
      <c r="M80" s="24">
        <f t="shared" si="40"/>
        <v>5066</v>
      </c>
      <c r="N80" s="24">
        <f t="shared" si="40"/>
        <v>5364</v>
      </c>
      <c r="O80" s="24">
        <f t="shared" si="40"/>
        <v>5662</v>
      </c>
      <c r="P80" s="24">
        <f t="shared" si="40"/>
        <v>6109</v>
      </c>
      <c r="Q80" s="24">
        <f t="shared" si="40"/>
        <v>6407</v>
      </c>
      <c r="R80" s="24">
        <f t="shared" si="40"/>
        <v>6854</v>
      </c>
      <c r="S80" s="24">
        <f t="shared" si="40"/>
        <v>7301</v>
      </c>
      <c r="T80" s="24">
        <f t="shared" si="40"/>
        <v>7748</v>
      </c>
      <c r="U80" s="24">
        <f t="shared" si="40"/>
        <v>8195</v>
      </c>
      <c r="V80" s="24">
        <f t="shared" si="40"/>
        <v>8791</v>
      </c>
      <c r="W80" s="24">
        <f t="shared" si="40"/>
        <v>9387</v>
      </c>
      <c r="X80" s="24">
        <f t="shared" si="40"/>
        <v>9983</v>
      </c>
      <c r="Y80" s="24">
        <f t="shared" si="40"/>
        <v>10579</v>
      </c>
      <c r="Z80" s="24">
        <f t="shared" si="40"/>
        <v>11324</v>
      </c>
      <c r="AA80" s="24">
        <f t="shared" si="40"/>
        <v>12069</v>
      </c>
      <c r="AB80" s="24">
        <f t="shared" si="40"/>
        <v>12814</v>
      </c>
      <c r="AC80" s="24">
        <f t="shared" si="40"/>
        <v>13708</v>
      </c>
      <c r="AD80" s="24">
        <f t="shared" si="40"/>
        <v>14602</v>
      </c>
      <c r="AE80" s="24">
        <f t="shared" si="40"/>
        <v>15496</v>
      </c>
      <c r="AF80" s="24">
        <f t="shared" si="40"/>
        <v>16539</v>
      </c>
      <c r="AG80" s="24">
        <f t="shared" si="40"/>
        <v>17731</v>
      </c>
      <c r="AH80" s="24">
        <f t="shared" si="40"/>
        <v>18923</v>
      </c>
      <c r="AI80" s="24">
        <f t="shared" si="40"/>
        <v>20115</v>
      </c>
      <c r="AJ80" s="24">
        <f t="shared" ref="AJ80:BJ80" si="41">AJ54*$C$7</f>
        <v>21456</v>
      </c>
      <c r="AK80" s="24">
        <f t="shared" si="41"/>
        <v>22946</v>
      </c>
      <c r="AL80" s="24">
        <f t="shared" si="41"/>
        <v>24436</v>
      </c>
      <c r="AM80" s="24">
        <f t="shared" si="41"/>
        <v>0</v>
      </c>
      <c r="AN80" s="24">
        <f t="shared" si="41"/>
        <v>0</v>
      </c>
      <c r="AO80" s="24">
        <f t="shared" si="41"/>
        <v>0</v>
      </c>
      <c r="AP80" s="24">
        <f t="shared" si="41"/>
        <v>0</v>
      </c>
      <c r="AQ80" s="24">
        <f t="shared" si="41"/>
        <v>0</v>
      </c>
      <c r="AR80" s="24">
        <f t="shared" si="41"/>
        <v>0</v>
      </c>
      <c r="AS80" s="24">
        <f t="shared" si="41"/>
        <v>0</v>
      </c>
      <c r="AT80" s="24">
        <f t="shared" si="41"/>
        <v>0</v>
      </c>
      <c r="AU80" s="24">
        <f t="shared" si="41"/>
        <v>0</v>
      </c>
      <c r="AV80" s="24">
        <f t="shared" si="41"/>
        <v>0</v>
      </c>
      <c r="AW80" s="24">
        <f t="shared" si="41"/>
        <v>0</v>
      </c>
      <c r="AX80" s="24">
        <f t="shared" si="41"/>
        <v>0</v>
      </c>
      <c r="AY80" s="24">
        <f t="shared" si="41"/>
        <v>0</v>
      </c>
      <c r="AZ80" s="24">
        <f t="shared" si="41"/>
        <v>0</v>
      </c>
      <c r="BA80" s="24">
        <f t="shared" si="41"/>
        <v>0</v>
      </c>
      <c r="BB80" s="24">
        <f t="shared" si="41"/>
        <v>0</v>
      </c>
      <c r="BC80" s="24">
        <f t="shared" si="41"/>
        <v>0</v>
      </c>
      <c r="BD80" s="24">
        <f t="shared" si="41"/>
        <v>0</v>
      </c>
      <c r="BE80" s="24">
        <f t="shared" si="41"/>
        <v>0</v>
      </c>
      <c r="BF80" s="24">
        <f t="shared" si="41"/>
        <v>0</v>
      </c>
      <c r="BG80" s="24">
        <f t="shared" si="41"/>
        <v>0</v>
      </c>
      <c r="BH80" s="24">
        <f t="shared" si="41"/>
        <v>0</v>
      </c>
      <c r="BI80" s="24">
        <f t="shared" si="41"/>
        <v>0</v>
      </c>
      <c r="BJ80" s="24">
        <f t="shared" si="41"/>
        <v>0</v>
      </c>
    </row>
    <row r="81" spans="1:68" x14ac:dyDescent="0.35">
      <c r="A81" s="15" t="s">
        <v>174</v>
      </c>
      <c r="B81" s="20" t="s">
        <v>124</v>
      </c>
      <c r="C81" s="24">
        <f t="shared" ref="C81:AH81" si="42">C79*$C$70</f>
        <v>2.3839999999999999</v>
      </c>
      <c r="D81" s="24">
        <f t="shared" si="42"/>
        <v>25.051072000000001</v>
      </c>
      <c r="E81" s="24">
        <f t="shared" si="42"/>
        <v>49.091480576000002</v>
      </c>
      <c r="F81" s="24">
        <f t="shared" si="42"/>
        <v>73.324212420608006</v>
      </c>
      <c r="G81" s="24">
        <f t="shared" si="42"/>
        <v>98.942806119972872</v>
      </c>
      <c r="H81" s="24">
        <f t="shared" si="42"/>
        <v>125.95834856893265</v>
      </c>
      <c r="I81" s="24">
        <f t="shared" si="42"/>
        <v>154.38201535748411</v>
      </c>
      <c r="J81" s="24">
        <f t="shared" si="42"/>
        <v>183.03307148034401</v>
      </c>
      <c r="K81" s="24">
        <f t="shared" si="42"/>
        <v>214.29733605218672</v>
      </c>
      <c r="L81" s="24">
        <f t="shared" si="42"/>
        <v>247.00371474060424</v>
      </c>
      <c r="M81" s="24">
        <f t="shared" si="42"/>
        <v>282.35574445852905</v>
      </c>
      <c r="N81" s="24">
        <f t="shared" si="42"/>
        <v>319.18259041419731</v>
      </c>
      <c r="O81" s="24">
        <f t="shared" si="42"/>
        <v>358.68805113751085</v>
      </c>
      <c r="P81" s="24">
        <f t="shared" si="42"/>
        <v>399.70155554661096</v>
      </c>
      <c r="Q81" s="24">
        <f t="shared" si="42"/>
        <v>444.6191679909839</v>
      </c>
      <c r="R81" s="24">
        <f t="shared" si="42"/>
        <v>491.08812133491176</v>
      </c>
      <c r="S81" s="24">
        <f t="shared" si="42"/>
        <v>540.3128263055911</v>
      </c>
      <c r="T81" s="24">
        <f t="shared" si="42"/>
        <v>592.3153289160357</v>
      </c>
      <c r="U81" s="24">
        <f t="shared" si="42"/>
        <v>648.30985154736402</v>
      </c>
      <c r="V81" s="24">
        <f t="shared" si="42"/>
        <v>707.13633035974294</v>
      </c>
      <c r="W81" s="24">
        <f t="shared" si="42"/>
        <v>770.00942100262091</v>
      </c>
      <c r="X81" s="24">
        <f t="shared" si="42"/>
        <v>836.96149637064184</v>
      </c>
      <c r="Y81" s="24">
        <f t="shared" si="42"/>
        <v>908.02518834160696</v>
      </c>
      <c r="Z81" s="24">
        <f t="shared" si="42"/>
        <v>983.23338984833981</v>
      </c>
      <c r="AA81" s="24">
        <f t="shared" si="42"/>
        <v>1063.8112569671266</v>
      </c>
      <c r="AB81" s="24">
        <f t="shared" si="42"/>
        <v>1148.6097470228638</v>
      </c>
      <c r="AC81" s="24">
        <f t="shared" si="42"/>
        <v>1238.8546249990466</v>
      </c>
      <c r="AD81" s="24">
        <f t="shared" si="42"/>
        <v>1335.781461999039</v>
      </c>
      <c r="AE81" s="24">
        <f t="shared" si="42"/>
        <v>1438.2517136950314</v>
      </c>
      <c r="AF81" s="24">
        <f t="shared" si="42"/>
        <v>1547.5017274045917</v>
      </c>
      <c r="AG81" s="24">
        <f t="shared" si="42"/>
        <v>1663.5857412238283</v>
      </c>
      <c r="AH81" s="24">
        <f t="shared" si="42"/>
        <v>1787.7504271536191</v>
      </c>
      <c r="AI81" s="24">
        <f t="shared" ref="AI81:BJ81" si="43">AI79*$C$70</f>
        <v>1921.252430570848</v>
      </c>
      <c r="AJ81" s="24">
        <f t="shared" si="43"/>
        <v>2062.9744500154152</v>
      </c>
      <c r="AK81" s="24">
        <f t="shared" si="43"/>
        <v>2212.9822456155384</v>
      </c>
      <c r="AL81" s="24">
        <f t="shared" si="43"/>
        <v>2373.7261035804627</v>
      </c>
      <c r="AM81" s="24">
        <f t="shared" si="43"/>
        <v>2545.2919124091063</v>
      </c>
      <c r="AN81" s="24">
        <f t="shared" si="43"/>
        <v>2519.1662477083792</v>
      </c>
      <c r="AO81" s="24">
        <f t="shared" si="43"/>
        <v>2494.0235776900463</v>
      </c>
      <c r="AP81" s="24">
        <f t="shared" si="43"/>
        <v>2469.8717663115667</v>
      </c>
      <c r="AQ81" s="24">
        <f t="shared" si="43"/>
        <v>2445.5267404420597</v>
      </c>
      <c r="AR81" s="24">
        <f t="shared" si="43"/>
        <v>2422.1789543655964</v>
      </c>
      <c r="AS81" s="24">
        <f t="shared" si="43"/>
        <v>2399.8363860005211</v>
      </c>
      <c r="AT81" s="24">
        <f t="shared" si="43"/>
        <v>2378.507077088525</v>
      </c>
      <c r="AU81" s="24">
        <f t="shared" si="43"/>
        <v>2357.0071337052332</v>
      </c>
      <c r="AV81" s="24">
        <f t="shared" si="43"/>
        <v>2336.5271907748752</v>
      </c>
      <c r="AW81" s="24">
        <f t="shared" si="43"/>
        <v>2317.0754083010743</v>
      </c>
      <c r="AX81" s="24">
        <f t="shared" si="43"/>
        <v>2297.4680115674828</v>
      </c>
      <c r="AY81" s="24">
        <f t="shared" si="43"/>
        <v>2278.8957556600226</v>
      </c>
      <c r="AZ81" s="24">
        <f t="shared" si="43"/>
        <v>2261.366921705303</v>
      </c>
      <c r="BA81" s="24">
        <f t="shared" si="43"/>
        <v>2243.6978570789452</v>
      </c>
      <c r="BB81" s="24">
        <f t="shared" si="43"/>
        <v>2227.0794399355768</v>
      </c>
      <c r="BC81" s="24">
        <f t="shared" si="43"/>
        <v>2210.328075455061</v>
      </c>
      <c r="BD81" s="24">
        <f t="shared" si="43"/>
        <v>2194.6347000587016</v>
      </c>
      <c r="BE81" s="24">
        <f t="shared" si="43"/>
        <v>2178.8157776591711</v>
      </c>
      <c r="BF81" s="24">
        <f t="shared" si="43"/>
        <v>2164.0623038804447</v>
      </c>
      <c r="BG81" s="24">
        <f t="shared" si="43"/>
        <v>2150.3828023114884</v>
      </c>
      <c r="BH81" s="24">
        <f t="shared" si="43"/>
        <v>2136.5938647299804</v>
      </c>
      <c r="BI81" s="24">
        <f t="shared" si="43"/>
        <v>2123.8866156478202</v>
      </c>
      <c r="BJ81" s="24">
        <f t="shared" si="43"/>
        <v>2111.0777085730028</v>
      </c>
    </row>
    <row r="82" spans="1:68" x14ac:dyDescent="0.35">
      <c r="A82" s="15" t="s">
        <v>175</v>
      </c>
      <c r="B82" s="20" t="s">
        <v>124</v>
      </c>
      <c r="C82" s="24">
        <f t="shared" ref="C82:AH82" si="44">C55*$C$7</f>
        <v>0</v>
      </c>
      <c r="D82" s="24">
        <f t="shared" si="44"/>
        <v>0</v>
      </c>
      <c r="E82" s="24">
        <f t="shared" si="44"/>
        <v>-149</v>
      </c>
      <c r="F82" s="24">
        <f t="shared" si="44"/>
        <v>-149</v>
      </c>
      <c r="G82" s="24">
        <f t="shared" si="44"/>
        <v>-298</v>
      </c>
      <c r="H82" s="24">
        <f t="shared" si="44"/>
        <v>-298</v>
      </c>
      <c r="I82" s="24">
        <f t="shared" si="44"/>
        <v>-447</v>
      </c>
      <c r="J82" s="24">
        <f t="shared" si="44"/>
        <v>-447</v>
      </c>
      <c r="K82" s="24">
        <f t="shared" si="44"/>
        <v>-596</v>
      </c>
      <c r="L82" s="24">
        <f t="shared" si="44"/>
        <v>-596</v>
      </c>
      <c r="M82" s="24">
        <f t="shared" si="44"/>
        <v>-745</v>
      </c>
      <c r="N82" s="24">
        <f t="shared" si="44"/>
        <v>-745</v>
      </c>
      <c r="O82" s="24">
        <f t="shared" si="44"/>
        <v>-894</v>
      </c>
      <c r="P82" s="24">
        <f t="shared" si="44"/>
        <v>-894</v>
      </c>
      <c r="Q82" s="24">
        <f t="shared" si="44"/>
        <v>-1043</v>
      </c>
      <c r="R82" s="24">
        <f t="shared" si="44"/>
        <v>-1192</v>
      </c>
      <c r="S82" s="24">
        <f t="shared" si="44"/>
        <v>-1341</v>
      </c>
      <c r="T82" s="24">
        <f t="shared" si="44"/>
        <v>-1341</v>
      </c>
      <c r="U82" s="24">
        <f t="shared" si="44"/>
        <v>-1490</v>
      </c>
      <c r="V82" s="24">
        <f t="shared" si="44"/>
        <v>-1639</v>
      </c>
      <c r="W82" s="24">
        <f t="shared" si="44"/>
        <v>-1788</v>
      </c>
      <c r="X82" s="24">
        <f t="shared" si="44"/>
        <v>-1937</v>
      </c>
      <c r="Y82" s="24">
        <f t="shared" si="44"/>
        <v>-2086</v>
      </c>
      <c r="Z82" s="24">
        <f t="shared" si="44"/>
        <v>-2235</v>
      </c>
      <c r="AA82" s="24">
        <f t="shared" si="44"/>
        <v>-2533</v>
      </c>
      <c r="AB82" s="24">
        <f t="shared" si="44"/>
        <v>-2682</v>
      </c>
      <c r="AC82" s="24">
        <f t="shared" si="44"/>
        <v>-2831</v>
      </c>
      <c r="AD82" s="24">
        <f t="shared" si="44"/>
        <v>-3129</v>
      </c>
      <c r="AE82" s="24">
        <f t="shared" si="44"/>
        <v>-3278</v>
      </c>
      <c r="AF82" s="24">
        <f t="shared" si="44"/>
        <v>-3576</v>
      </c>
      <c r="AG82" s="24">
        <f t="shared" si="44"/>
        <v>-3874</v>
      </c>
      <c r="AH82" s="24">
        <f t="shared" si="44"/>
        <v>-4023</v>
      </c>
      <c r="AI82" s="24">
        <f t="shared" ref="AI82:BJ82" si="45">AI55*$C$7</f>
        <v>-4321</v>
      </c>
      <c r="AJ82" s="24">
        <f t="shared" si="45"/>
        <v>-4768</v>
      </c>
      <c r="AK82" s="24">
        <f t="shared" si="45"/>
        <v>-5066</v>
      </c>
      <c r="AL82" s="24">
        <f t="shared" si="45"/>
        <v>-5364</v>
      </c>
      <c r="AM82" s="24">
        <f t="shared" si="45"/>
        <v>-5811</v>
      </c>
      <c r="AN82" s="24">
        <f t="shared" si="45"/>
        <v>-5662</v>
      </c>
      <c r="AO82" s="24">
        <f t="shared" si="45"/>
        <v>-5513</v>
      </c>
      <c r="AP82" s="24">
        <f t="shared" si="45"/>
        <v>-5513</v>
      </c>
      <c r="AQ82" s="24">
        <f t="shared" si="45"/>
        <v>-5364</v>
      </c>
      <c r="AR82" s="24">
        <f t="shared" si="45"/>
        <v>-5215</v>
      </c>
      <c r="AS82" s="24">
        <f t="shared" si="45"/>
        <v>-5066</v>
      </c>
      <c r="AT82" s="24">
        <f t="shared" si="45"/>
        <v>-5066</v>
      </c>
      <c r="AU82" s="24">
        <f t="shared" si="45"/>
        <v>-4917</v>
      </c>
      <c r="AV82" s="24">
        <f t="shared" si="45"/>
        <v>-4768</v>
      </c>
      <c r="AW82" s="24">
        <f t="shared" si="45"/>
        <v>-4768</v>
      </c>
      <c r="AX82" s="24">
        <f t="shared" si="45"/>
        <v>-4619</v>
      </c>
      <c r="AY82" s="24">
        <f t="shared" si="45"/>
        <v>-4470</v>
      </c>
      <c r="AZ82" s="24">
        <f t="shared" si="45"/>
        <v>-4470</v>
      </c>
      <c r="BA82" s="24">
        <f t="shared" si="45"/>
        <v>-4321</v>
      </c>
      <c r="BB82" s="24">
        <f t="shared" si="45"/>
        <v>-4321</v>
      </c>
      <c r="BC82" s="24">
        <f t="shared" si="45"/>
        <v>-4172</v>
      </c>
      <c r="BD82" s="24">
        <f t="shared" si="45"/>
        <v>-4172</v>
      </c>
      <c r="BE82" s="24">
        <f t="shared" si="45"/>
        <v>-4023</v>
      </c>
      <c r="BF82" s="24">
        <f t="shared" si="45"/>
        <v>-3874</v>
      </c>
      <c r="BG82" s="24">
        <f t="shared" si="45"/>
        <v>-3874</v>
      </c>
      <c r="BH82" s="24">
        <f t="shared" si="45"/>
        <v>-3725</v>
      </c>
      <c r="BI82" s="24">
        <f t="shared" si="45"/>
        <v>-3725</v>
      </c>
      <c r="BJ82" s="24">
        <f t="shared" si="45"/>
        <v>-3576</v>
      </c>
    </row>
    <row r="83" spans="1:68" x14ac:dyDescent="0.35">
      <c r="A83" s="6" t="s">
        <v>176</v>
      </c>
      <c r="B83" s="20" t="s">
        <v>124</v>
      </c>
      <c r="C83" s="24">
        <f t="shared" ref="C83:AH83" si="46">C79+C80+C81+C82</f>
        <v>3131.384</v>
      </c>
      <c r="D83" s="24">
        <f t="shared" si="46"/>
        <v>6136.4350720000002</v>
      </c>
      <c r="E83" s="24">
        <f t="shared" si="46"/>
        <v>9165.5265525760005</v>
      </c>
      <c r="F83" s="24">
        <f t="shared" si="46"/>
        <v>12367.850764996609</v>
      </c>
      <c r="G83" s="24">
        <f t="shared" si="46"/>
        <v>15744.793571116581</v>
      </c>
      <c r="H83" s="24">
        <f t="shared" si="46"/>
        <v>19297.751919685514</v>
      </c>
      <c r="I83" s="24">
        <f t="shared" si="46"/>
        <v>22879.133935042999</v>
      </c>
      <c r="J83" s="24">
        <f t="shared" si="46"/>
        <v>26787.167006523341</v>
      </c>
      <c r="K83" s="24">
        <f t="shared" si="46"/>
        <v>30875.464342575528</v>
      </c>
      <c r="L83" s="24">
        <f t="shared" si="46"/>
        <v>35294.468057316131</v>
      </c>
      <c r="M83" s="24">
        <f t="shared" si="46"/>
        <v>39897.823801774663</v>
      </c>
      <c r="N83" s="24">
        <f t="shared" si="46"/>
        <v>44836.006392188858</v>
      </c>
      <c r="O83" s="24">
        <f t="shared" si="46"/>
        <v>49962.694443326371</v>
      </c>
      <c r="P83" s="24">
        <f t="shared" si="46"/>
        <v>55577.395998872984</v>
      </c>
      <c r="Q83" s="24">
        <f t="shared" si="46"/>
        <v>61386.015166863966</v>
      </c>
      <c r="R83" s="24">
        <f t="shared" si="46"/>
        <v>67539.103288198879</v>
      </c>
      <c r="S83" s="24">
        <f t="shared" si="46"/>
        <v>74039.416114504464</v>
      </c>
      <c r="T83" s="24">
        <f t="shared" si="46"/>
        <v>81038.731443420504</v>
      </c>
      <c r="U83" s="24">
        <f t="shared" si="46"/>
        <v>88392.041294967872</v>
      </c>
      <c r="V83" s="24">
        <f t="shared" si="46"/>
        <v>96251.177625327618</v>
      </c>
      <c r="W83" s="24">
        <f t="shared" si="46"/>
        <v>104620.18704633023</v>
      </c>
      <c r="X83" s="24">
        <f t="shared" si="46"/>
        <v>113503.14854270087</v>
      </c>
      <c r="Y83" s="24">
        <f t="shared" si="46"/>
        <v>122904.17373104248</v>
      </c>
      <c r="Z83" s="24">
        <f t="shared" si="46"/>
        <v>132976.40712089083</v>
      </c>
      <c r="AA83" s="24">
        <f t="shared" si="46"/>
        <v>143576.21837785796</v>
      </c>
      <c r="AB83" s="24">
        <f t="shared" si="46"/>
        <v>154856.82812488082</v>
      </c>
      <c r="AC83" s="24">
        <f t="shared" si="46"/>
        <v>166972.68274987987</v>
      </c>
      <c r="AD83" s="24">
        <f t="shared" si="46"/>
        <v>179781.46421187892</v>
      </c>
      <c r="AE83" s="24">
        <f t="shared" si="46"/>
        <v>193437.71592557395</v>
      </c>
      <c r="AF83" s="24">
        <f t="shared" si="46"/>
        <v>207948.21765297855</v>
      </c>
      <c r="AG83" s="24">
        <f t="shared" si="46"/>
        <v>223468.80339420238</v>
      </c>
      <c r="AH83" s="24">
        <f t="shared" si="46"/>
        <v>240156.55382135601</v>
      </c>
      <c r="AI83" s="24">
        <f t="shared" ref="AI83:BJ83" si="47">AI79+AI80+AI81+AI82</f>
        <v>257871.80625192687</v>
      </c>
      <c r="AJ83" s="24">
        <f t="shared" si="47"/>
        <v>276622.78070194228</v>
      </c>
      <c r="AK83" s="24">
        <f t="shared" si="47"/>
        <v>296715.76294755784</v>
      </c>
      <c r="AL83" s="24">
        <f t="shared" si="47"/>
        <v>318161.48905113828</v>
      </c>
      <c r="AM83" s="24">
        <f t="shared" si="47"/>
        <v>314895.78096354741</v>
      </c>
      <c r="AN83" s="24">
        <f t="shared" si="47"/>
        <v>311752.94721125579</v>
      </c>
      <c r="AO83" s="24">
        <f t="shared" si="47"/>
        <v>308733.97078894585</v>
      </c>
      <c r="AP83" s="24">
        <f t="shared" si="47"/>
        <v>305690.84255525743</v>
      </c>
      <c r="AQ83" s="24">
        <f t="shared" si="47"/>
        <v>302772.36929569952</v>
      </c>
      <c r="AR83" s="24">
        <f t="shared" si="47"/>
        <v>299979.54825006513</v>
      </c>
      <c r="AS83" s="24">
        <f t="shared" si="47"/>
        <v>297313.38463606563</v>
      </c>
      <c r="AT83" s="24">
        <f t="shared" si="47"/>
        <v>294625.89171315415</v>
      </c>
      <c r="AU83" s="24">
        <f t="shared" si="47"/>
        <v>292065.8988468594</v>
      </c>
      <c r="AV83" s="24">
        <f t="shared" si="47"/>
        <v>289634.42603763426</v>
      </c>
      <c r="AW83" s="24">
        <f t="shared" si="47"/>
        <v>287183.50144593534</v>
      </c>
      <c r="AX83" s="24">
        <f t="shared" si="47"/>
        <v>284861.96945750283</v>
      </c>
      <c r="AY83" s="24">
        <f t="shared" si="47"/>
        <v>282670.86521316285</v>
      </c>
      <c r="AZ83" s="24">
        <f t="shared" si="47"/>
        <v>280462.23213486816</v>
      </c>
      <c r="BA83" s="24">
        <f t="shared" si="47"/>
        <v>278384.92999194708</v>
      </c>
      <c r="BB83" s="24">
        <f t="shared" si="47"/>
        <v>276291.00943188265</v>
      </c>
      <c r="BC83" s="24">
        <f t="shared" si="47"/>
        <v>274329.33750733768</v>
      </c>
      <c r="BD83" s="24">
        <f t="shared" si="47"/>
        <v>272351.97220739641</v>
      </c>
      <c r="BE83" s="24">
        <f t="shared" si="47"/>
        <v>270507.78798505559</v>
      </c>
      <c r="BF83" s="24">
        <f t="shared" si="47"/>
        <v>268797.85028893605</v>
      </c>
      <c r="BG83" s="24">
        <f t="shared" si="47"/>
        <v>267074.23309124756</v>
      </c>
      <c r="BH83" s="24">
        <f t="shared" si="47"/>
        <v>265485.82695597754</v>
      </c>
      <c r="BI83" s="24">
        <f t="shared" si="47"/>
        <v>263884.71357162535</v>
      </c>
      <c r="BJ83" s="24">
        <f t="shared" si="47"/>
        <v>262419.79128019838</v>
      </c>
      <c r="BK83" s="24">
        <f>IFERROR(LOOKUP(2,1/((YEAR(EDATE(Controls!$B$6,COLUMN($C$1:$BJ$1)-COLUMN($C$1)))=YEAR(Controls!$B$6)+0)*(COLUMN($C$1:$BJ$1)-COLUMN($C$1)&lt;Controls!$B$7)),$C$83:$BJ$83),0)</f>
        <v>44836.006392188858</v>
      </c>
      <c r="BL83" s="24">
        <f>IFERROR(LOOKUP(2,1/((YEAR(EDATE(Controls!$B$6,COLUMN($C$1:$BJ$1)-COLUMN($C$1)))=YEAR(Controls!$B$6)+1)*(COLUMN($C$1:$BJ$1)-COLUMN($C$1)&lt;Controls!$B$7)),$C$83:$BJ$83),0)</f>
        <v>132976.40712089083</v>
      </c>
      <c r="BM83" s="24">
        <f>IFERROR(LOOKUP(2,1/((YEAR(EDATE(Controls!$B$6,COLUMN($C$1:$BJ$1)-COLUMN($C$1)))=YEAR(Controls!$B$6)+2)*(COLUMN($C$1:$BJ$1)-COLUMN($C$1)&lt;Controls!$B$7)),$C$83:$BJ$83),0)</f>
        <v>318161.48905113828</v>
      </c>
      <c r="BN83" s="24">
        <f>IFERROR(LOOKUP(2,1/((YEAR(EDATE(Controls!$B$6,COLUMN($C$1:$BJ$1)-COLUMN($C$1)))=YEAR(Controls!$B$6)+3)*(COLUMN($C$1:$BJ$1)-COLUMN($C$1)&lt;Controls!$B$7)),$C$83:$BJ$83),0)</f>
        <v>0</v>
      </c>
      <c r="BO83" s="24">
        <f>IFERROR(LOOKUP(2,1/((YEAR(EDATE(Controls!$B$6,COLUMN($C$1:$BJ$1)-COLUMN($C$1)))=YEAR(Controls!$B$6)+4)*(COLUMN($C$1:$BJ$1)-COLUMN($C$1)&lt;Controls!$B$7)),$C$83:$BJ$83),0)</f>
        <v>0</v>
      </c>
      <c r="BP83" s="24">
        <f>IFERROR(LOOKUP(2,1/((YEAR(EDATE(Controls!$B$6,COLUMN($C$1:$BJ$1)-COLUMN($C$1)))=YEAR(Controls!$B$6)+5)*(COLUMN($C$1:$BJ$1)-COLUMN($C$1)&lt;Controls!$B$7)),$C$83:$BJ$83),0)</f>
        <v>0</v>
      </c>
    </row>
    <row r="85" spans="1:68" x14ac:dyDescent="0.35">
      <c r="A85" s="15" t="s">
        <v>177</v>
      </c>
      <c r="B85" s="20" t="s">
        <v>124</v>
      </c>
      <c r="C85" s="24">
        <f>C60*$C$8</f>
        <v>499</v>
      </c>
      <c r="D85" s="24">
        <f t="shared" ref="D85:AI85" si="48">C89</f>
        <v>3500.4850000000001</v>
      </c>
      <c r="E85" s="24">
        <f t="shared" si="48"/>
        <v>7045.9922750000005</v>
      </c>
      <c r="F85" s="24">
        <f t="shared" si="48"/>
        <v>10644.682159125001</v>
      </c>
      <c r="G85" s="24">
        <f t="shared" si="48"/>
        <v>14297.352391511877</v>
      </c>
      <c r="H85" s="24">
        <f t="shared" si="48"/>
        <v>18503.812677384558</v>
      </c>
      <c r="I85" s="24">
        <f t="shared" si="48"/>
        <v>22773.369867545327</v>
      </c>
      <c r="J85" s="24">
        <f t="shared" si="48"/>
        <v>27605.970415558506</v>
      </c>
      <c r="K85" s="24">
        <f t="shared" si="48"/>
        <v>32012.059971791885</v>
      </c>
      <c r="L85" s="24">
        <f t="shared" si="48"/>
        <v>36983.240871368762</v>
      </c>
      <c r="M85" s="24">
        <f t="shared" si="48"/>
        <v>42527.989484439291</v>
      </c>
      <c r="N85" s="24">
        <f t="shared" si="48"/>
        <v>48155.909326705878</v>
      </c>
      <c r="O85" s="24">
        <f t="shared" si="48"/>
        <v>54367.247966606468</v>
      </c>
      <c r="P85" s="24">
        <f t="shared" si="48"/>
        <v>61170.756686105567</v>
      </c>
      <c r="Q85" s="24">
        <f t="shared" si="48"/>
        <v>68575.318036397148</v>
      </c>
      <c r="R85" s="24">
        <f t="shared" si="48"/>
        <v>76090.947806943106</v>
      </c>
      <c r="S85" s="24">
        <f t="shared" si="48"/>
        <v>84218.312024047249</v>
      </c>
      <c r="T85" s="24">
        <f t="shared" si="48"/>
        <v>92467.586704407964</v>
      </c>
      <c r="U85" s="24">
        <f t="shared" si="48"/>
        <v>101339.60050497408</v>
      </c>
      <c r="V85" s="24">
        <f t="shared" si="48"/>
        <v>110843.69451254868</v>
      </c>
      <c r="W85" s="24">
        <f t="shared" si="48"/>
        <v>121488.34993023692</v>
      </c>
      <c r="X85" s="24">
        <f t="shared" si="48"/>
        <v>132791.6751791905</v>
      </c>
      <c r="Y85" s="24">
        <f t="shared" si="48"/>
        <v>144763.55030687834</v>
      </c>
      <c r="Z85" s="24">
        <f t="shared" si="48"/>
        <v>157414.00356148151</v>
      </c>
      <c r="AA85" s="24">
        <f t="shared" si="48"/>
        <v>170753.21361490374</v>
      </c>
      <c r="AB85" s="24">
        <f t="shared" si="48"/>
        <v>185290.51181912731</v>
      </c>
      <c r="AC85" s="24">
        <f t="shared" si="48"/>
        <v>201043.86949641421</v>
      </c>
      <c r="AD85" s="24">
        <f t="shared" si="48"/>
        <v>218031.52753886042</v>
      </c>
      <c r="AE85" s="24">
        <f t="shared" si="48"/>
        <v>235773.00045194331</v>
      </c>
      <c r="AF85" s="24">
        <f t="shared" si="48"/>
        <v>254778.59545872247</v>
      </c>
      <c r="AG85" s="24">
        <f t="shared" si="48"/>
        <v>275067.2743906033</v>
      </c>
      <c r="AH85" s="24">
        <f t="shared" si="48"/>
        <v>296658.28350646235</v>
      </c>
      <c r="AI85" s="24">
        <f t="shared" si="48"/>
        <v>319571.15775905928</v>
      </c>
      <c r="AJ85" s="24">
        <f t="shared" ref="AJ85:BJ85" si="49">AI89</f>
        <v>344324.72512544517</v>
      </c>
      <c r="AK85" s="24">
        <f t="shared" si="49"/>
        <v>370447.59600232687</v>
      </c>
      <c r="AL85" s="24">
        <f t="shared" si="49"/>
        <v>398459.30994236178</v>
      </c>
      <c r="AM85" s="24">
        <f t="shared" si="49"/>
        <v>428388.19959149719</v>
      </c>
      <c r="AN85" s="24">
        <f t="shared" si="49"/>
        <v>431321.02258536965</v>
      </c>
      <c r="AO85" s="24">
        <f t="shared" si="49"/>
        <v>434297.83792415017</v>
      </c>
      <c r="AP85" s="24">
        <f t="shared" si="49"/>
        <v>437319.30549301242</v>
      </c>
      <c r="AQ85" s="24">
        <f t="shared" si="49"/>
        <v>440386.09507540759</v>
      </c>
      <c r="AR85" s="24">
        <f t="shared" si="49"/>
        <v>443498.88650153868</v>
      </c>
      <c r="AS85" s="24">
        <f t="shared" si="49"/>
        <v>446658.36979906174</v>
      </c>
      <c r="AT85" s="24">
        <f t="shared" si="49"/>
        <v>449865.24534604768</v>
      </c>
      <c r="AU85" s="24">
        <f t="shared" si="49"/>
        <v>453120.22402623837</v>
      </c>
      <c r="AV85" s="24">
        <f t="shared" si="49"/>
        <v>456424.02738663193</v>
      </c>
      <c r="AW85" s="24">
        <f t="shared" si="49"/>
        <v>459777.38779743144</v>
      </c>
      <c r="AX85" s="24">
        <f t="shared" si="49"/>
        <v>463680.04861439293</v>
      </c>
      <c r="AY85" s="24">
        <f t="shared" si="49"/>
        <v>467641.2493436088</v>
      </c>
      <c r="AZ85" s="24">
        <f t="shared" si="49"/>
        <v>471661.86808376294</v>
      </c>
      <c r="BA85" s="24">
        <f t="shared" si="49"/>
        <v>475742.7961050194</v>
      </c>
      <c r="BB85" s="24">
        <f t="shared" si="49"/>
        <v>479884.93804659467</v>
      </c>
      <c r="BC85" s="24">
        <f t="shared" si="49"/>
        <v>484089.21211729362</v>
      </c>
      <c r="BD85" s="24">
        <f t="shared" si="49"/>
        <v>488356.55029905302</v>
      </c>
      <c r="BE85" s="24">
        <f t="shared" si="49"/>
        <v>492687.89855353883</v>
      </c>
      <c r="BF85" s="24">
        <f t="shared" si="49"/>
        <v>497084.21703184192</v>
      </c>
      <c r="BG85" s="24">
        <f t="shared" si="49"/>
        <v>501546.48028731957</v>
      </c>
      <c r="BH85" s="24">
        <f t="shared" si="49"/>
        <v>506075.67749162938</v>
      </c>
      <c r="BI85" s="24">
        <f t="shared" si="49"/>
        <v>510672.81265400379</v>
      </c>
      <c r="BJ85" s="24">
        <f t="shared" si="49"/>
        <v>515338.90484381386</v>
      </c>
    </row>
    <row r="86" spans="1:68" x14ac:dyDescent="0.35">
      <c r="A86" s="15" t="s">
        <v>178</v>
      </c>
      <c r="B86" s="20" t="s">
        <v>124</v>
      </c>
      <c r="C86" s="24">
        <f>C61*$C$8</f>
        <v>2994</v>
      </c>
      <c r="D86" s="24">
        <f t="shared" ref="D86:AI86" si="50">D61*$C$8</f>
        <v>3493</v>
      </c>
      <c r="E86" s="24">
        <f t="shared" si="50"/>
        <v>3493</v>
      </c>
      <c r="F86" s="24">
        <f t="shared" si="50"/>
        <v>3493</v>
      </c>
      <c r="G86" s="24">
        <f t="shared" si="50"/>
        <v>3992</v>
      </c>
      <c r="H86" s="24">
        <f t="shared" si="50"/>
        <v>3992</v>
      </c>
      <c r="I86" s="24">
        <f t="shared" si="50"/>
        <v>4491</v>
      </c>
      <c r="J86" s="24">
        <f t="shared" si="50"/>
        <v>4491</v>
      </c>
      <c r="K86" s="24">
        <f t="shared" si="50"/>
        <v>4990</v>
      </c>
      <c r="L86" s="24">
        <f t="shared" si="50"/>
        <v>5489</v>
      </c>
      <c r="M86" s="24">
        <f t="shared" si="50"/>
        <v>5489</v>
      </c>
      <c r="N86" s="24">
        <f t="shared" si="50"/>
        <v>5988</v>
      </c>
      <c r="O86" s="24">
        <f t="shared" si="50"/>
        <v>6487</v>
      </c>
      <c r="P86" s="24">
        <f t="shared" si="50"/>
        <v>6986</v>
      </c>
      <c r="Q86" s="24">
        <f t="shared" si="50"/>
        <v>6986</v>
      </c>
      <c r="R86" s="24">
        <f t="shared" si="50"/>
        <v>7485</v>
      </c>
      <c r="S86" s="24">
        <f t="shared" si="50"/>
        <v>7984</v>
      </c>
      <c r="T86" s="24">
        <f t="shared" si="50"/>
        <v>8483</v>
      </c>
      <c r="U86" s="24">
        <f t="shared" si="50"/>
        <v>8982</v>
      </c>
      <c r="V86" s="24">
        <f t="shared" si="50"/>
        <v>9980</v>
      </c>
      <c r="W86" s="24">
        <f t="shared" si="50"/>
        <v>10479</v>
      </c>
      <c r="X86" s="24">
        <f t="shared" si="50"/>
        <v>10978</v>
      </c>
      <c r="Y86" s="24">
        <f t="shared" si="50"/>
        <v>11976</v>
      </c>
      <c r="Z86" s="24">
        <f t="shared" si="50"/>
        <v>12475</v>
      </c>
      <c r="AA86" s="24">
        <f t="shared" si="50"/>
        <v>13473</v>
      </c>
      <c r="AB86" s="24">
        <f t="shared" si="50"/>
        <v>14471</v>
      </c>
      <c r="AC86" s="24">
        <f t="shared" si="50"/>
        <v>15469</v>
      </c>
      <c r="AD86" s="24">
        <f t="shared" si="50"/>
        <v>16467</v>
      </c>
      <c r="AE86" s="24">
        <f t="shared" si="50"/>
        <v>17465</v>
      </c>
      <c r="AF86" s="24">
        <f t="shared" si="50"/>
        <v>18463</v>
      </c>
      <c r="AG86" s="24">
        <f t="shared" si="50"/>
        <v>19960</v>
      </c>
      <c r="AH86" s="24">
        <f t="shared" si="50"/>
        <v>20958</v>
      </c>
      <c r="AI86" s="24">
        <f t="shared" si="50"/>
        <v>22455</v>
      </c>
      <c r="AJ86" s="24">
        <f t="shared" ref="AJ86:BJ86" si="51">AJ61*$C$8</f>
        <v>23952</v>
      </c>
      <c r="AK86" s="24">
        <f t="shared" si="51"/>
        <v>25449</v>
      </c>
      <c r="AL86" s="24">
        <f t="shared" si="51"/>
        <v>27445</v>
      </c>
      <c r="AM86" s="24">
        <f t="shared" si="51"/>
        <v>0</v>
      </c>
      <c r="AN86" s="24">
        <f t="shared" si="51"/>
        <v>0</v>
      </c>
      <c r="AO86" s="24">
        <f t="shared" si="51"/>
        <v>0</v>
      </c>
      <c r="AP86" s="24">
        <f t="shared" si="51"/>
        <v>0</v>
      </c>
      <c r="AQ86" s="24">
        <f t="shared" si="51"/>
        <v>0</v>
      </c>
      <c r="AR86" s="24">
        <f t="shared" si="51"/>
        <v>0</v>
      </c>
      <c r="AS86" s="24">
        <f t="shared" si="51"/>
        <v>0</v>
      </c>
      <c r="AT86" s="24">
        <f t="shared" si="51"/>
        <v>0</v>
      </c>
      <c r="AU86" s="24">
        <f t="shared" si="51"/>
        <v>0</v>
      </c>
      <c r="AV86" s="24">
        <f t="shared" si="51"/>
        <v>0</v>
      </c>
      <c r="AW86" s="24">
        <f t="shared" si="51"/>
        <v>0</v>
      </c>
      <c r="AX86" s="24">
        <f t="shared" si="51"/>
        <v>0</v>
      </c>
      <c r="AY86" s="24">
        <f t="shared" si="51"/>
        <v>0</v>
      </c>
      <c r="AZ86" s="24">
        <f t="shared" si="51"/>
        <v>0</v>
      </c>
      <c r="BA86" s="24">
        <f t="shared" si="51"/>
        <v>0</v>
      </c>
      <c r="BB86" s="24">
        <f t="shared" si="51"/>
        <v>0</v>
      </c>
      <c r="BC86" s="24">
        <f t="shared" si="51"/>
        <v>0</v>
      </c>
      <c r="BD86" s="24">
        <f t="shared" si="51"/>
        <v>0</v>
      </c>
      <c r="BE86" s="24">
        <f t="shared" si="51"/>
        <v>0</v>
      </c>
      <c r="BF86" s="24">
        <f t="shared" si="51"/>
        <v>0</v>
      </c>
      <c r="BG86" s="24">
        <f t="shared" si="51"/>
        <v>0</v>
      </c>
      <c r="BH86" s="24">
        <f t="shared" si="51"/>
        <v>0</v>
      </c>
      <c r="BI86" s="24">
        <f t="shared" si="51"/>
        <v>0</v>
      </c>
      <c r="BJ86" s="24">
        <f t="shared" si="51"/>
        <v>0</v>
      </c>
    </row>
    <row r="87" spans="1:68" x14ac:dyDescent="0.35">
      <c r="A87" s="15" t="s">
        <v>179</v>
      </c>
      <c r="B87" s="20" t="s">
        <v>124</v>
      </c>
      <c r="C87" s="24">
        <f t="shared" ref="C87:AH87" si="52">C85*$C$71</f>
        <v>7.4849999999999994</v>
      </c>
      <c r="D87" s="24">
        <f t="shared" si="52"/>
        <v>52.507275</v>
      </c>
      <c r="E87" s="24">
        <f t="shared" si="52"/>
        <v>105.68988412500001</v>
      </c>
      <c r="F87" s="24">
        <f t="shared" si="52"/>
        <v>159.670232386875</v>
      </c>
      <c r="G87" s="24">
        <f t="shared" si="52"/>
        <v>214.46028587267816</v>
      </c>
      <c r="H87" s="24">
        <f t="shared" si="52"/>
        <v>277.55719016076836</v>
      </c>
      <c r="I87" s="24">
        <f t="shared" si="52"/>
        <v>341.60054801317989</v>
      </c>
      <c r="J87" s="24">
        <f t="shared" si="52"/>
        <v>414.08955623337755</v>
      </c>
      <c r="K87" s="24">
        <f t="shared" si="52"/>
        <v>480.18089957687823</v>
      </c>
      <c r="L87" s="24">
        <f t="shared" si="52"/>
        <v>554.74861307053141</v>
      </c>
      <c r="M87" s="24">
        <f t="shared" si="52"/>
        <v>637.9198422665894</v>
      </c>
      <c r="N87" s="24">
        <f t="shared" si="52"/>
        <v>722.33863990058819</v>
      </c>
      <c r="O87" s="24">
        <f t="shared" si="52"/>
        <v>815.50871949909697</v>
      </c>
      <c r="P87" s="24">
        <f t="shared" si="52"/>
        <v>917.56135029158349</v>
      </c>
      <c r="Q87" s="24">
        <f t="shared" si="52"/>
        <v>1028.6297705459572</v>
      </c>
      <c r="R87" s="24">
        <f t="shared" si="52"/>
        <v>1141.3642171041465</v>
      </c>
      <c r="S87" s="24">
        <f t="shared" si="52"/>
        <v>1263.2746803607088</v>
      </c>
      <c r="T87" s="24">
        <f t="shared" si="52"/>
        <v>1387.0138005661195</v>
      </c>
      <c r="U87" s="24">
        <f t="shared" si="52"/>
        <v>1520.0940075746112</v>
      </c>
      <c r="V87" s="24">
        <f t="shared" si="52"/>
        <v>1662.6554176882303</v>
      </c>
      <c r="W87" s="24">
        <f t="shared" si="52"/>
        <v>1822.3252489535537</v>
      </c>
      <c r="X87" s="24">
        <f t="shared" si="52"/>
        <v>1991.8751276878575</v>
      </c>
      <c r="Y87" s="24">
        <f t="shared" si="52"/>
        <v>2171.4532546031751</v>
      </c>
      <c r="Z87" s="24">
        <f t="shared" si="52"/>
        <v>2361.2100534222227</v>
      </c>
      <c r="AA87" s="24">
        <f t="shared" si="52"/>
        <v>2561.2982042235558</v>
      </c>
      <c r="AB87" s="24">
        <f t="shared" si="52"/>
        <v>2779.3576772869096</v>
      </c>
      <c r="AC87" s="24">
        <f t="shared" si="52"/>
        <v>3015.6580424462131</v>
      </c>
      <c r="AD87" s="24">
        <f t="shared" si="52"/>
        <v>3270.472913082906</v>
      </c>
      <c r="AE87" s="24">
        <f t="shared" si="52"/>
        <v>3536.5950067791496</v>
      </c>
      <c r="AF87" s="24">
        <f t="shared" si="52"/>
        <v>3821.6789318808369</v>
      </c>
      <c r="AG87" s="24">
        <f t="shared" si="52"/>
        <v>4126.0091158590494</v>
      </c>
      <c r="AH87" s="24">
        <f t="shared" si="52"/>
        <v>4449.8742525969346</v>
      </c>
      <c r="AI87" s="24">
        <f t="shared" ref="AI87:BJ87" si="53">AI85*$C$71</f>
        <v>4793.5673663858888</v>
      </c>
      <c r="AJ87" s="24">
        <f t="shared" si="53"/>
        <v>5164.8708768816778</v>
      </c>
      <c r="AK87" s="24">
        <f t="shared" si="53"/>
        <v>5556.7139400349024</v>
      </c>
      <c r="AL87" s="24">
        <f t="shared" si="53"/>
        <v>5976.8896491354262</v>
      </c>
      <c r="AM87" s="24">
        <f t="shared" si="53"/>
        <v>6425.822993872458</v>
      </c>
      <c r="AN87" s="24">
        <f t="shared" si="53"/>
        <v>6469.8153387805442</v>
      </c>
      <c r="AO87" s="24">
        <f t="shared" si="53"/>
        <v>6514.4675688622519</v>
      </c>
      <c r="AP87" s="24">
        <f t="shared" si="53"/>
        <v>6559.7895823951858</v>
      </c>
      <c r="AQ87" s="24">
        <f t="shared" si="53"/>
        <v>6605.7914261311134</v>
      </c>
      <c r="AR87" s="24">
        <f t="shared" si="53"/>
        <v>6652.4832975230802</v>
      </c>
      <c r="AS87" s="24">
        <f t="shared" si="53"/>
        <v>6699.8755469859261</v>
      </c>
      <c r="AT87" s="24">
        <f t="shared" si="53"/>
        <v>6747.9786801907148</v>
      </c>
      <c r="AU87" s="24">
        <f t="shared" si="53"/>
        <v>6796.8033603935755</v>
      </c>
      <c r="AV87" s="24">
        <f t="shared" si="53"/>
        <v>6846.3604107994788</v>
      </c>
      <c r="AW87" s="24">
        <f t="shared" si="53"/>
        <v>6896.660816961471</v>
      </c>
      <c r="AX87" s="24">
        <f t="shared" si="53"/>
        <v>6955.2007292158933</v>
      </c>
      <c r="AY87" s="24">
        <f t="shared" si="53"/>
        <v>7014.618740154132</v>
      </c>
      <c r="AZ87" s="24">
        <f t="shared" si="53"/>
        <v>7074.9280212564436</v>
      </c>
      <c r="BA87" s="24">
        <f t="shared" si="53"/>
        <v>7136.1419415752907</v>
      </c>
      <c r="BB87" s="24">
        <f t="shared" si="53"/>
        <v>7198.2740706989198</v>
      </c>
      <c r="BC87" s="24">
        <f t="shared" si="53"/>
        <v>7261.3381817594036</v>
      </c>
      <c r="BD87" s="24">
        <f t="shared" si="53"/>
        <v>7325.3482544857952</v>
      </c>
      <c r="BE87" s="24">
        <f t="shared" si="53"/>
        <v>7390.318478303082</v>
      </c>
      <c r="BF87" s="24">
        <f t="shared" si="53"/>
        <v>7456.2632554776283</v>
      </c>
      <c r="BG87" s="24">
        <f t="shared" si="53"/>
        <v>7523.1972043097931</v>
      </c>
      <c r="BH87" s="24">
        <f t="shared" si="53"/>
        <v>7591.1351623744404</v>
      </c>
      <c r="BI87" s="24">
        <f t="shared" si="53"/>
        <v>7660.0921898100569</v>
      </c>
      <c r="BJ87" s="24">
        <f t="shared" si="53"/>
        <v>7730.0835726572077</v>
      </c>
    </row>
    <row r="88" spans="1:68" x14ac:dyDescent="0.35">
      <c r="A88" s="15" t="s">
        <v>180</v>
      </c>
      <c r="B88" s="20" t="s">
        <v>124</v>
      </c>
      <c r="C88" s="24">
        <f t="shared" ref="C88:AH88" si="54">C62*$C$8</f>
        <v>0</v>
      </c>
      <c r="D88" s="24">
        <f t="shared" si="54"/>
        <v>0</v>
      </c>
      <c r="E88" s="24">
        <f t="shared" si="54"/>
        <v>0</v>
      </c>
      <c r="F88" s="24">
        <f t="shared" si="54"/>
        <v>0</v>
      </c>
      <c r="G88" s="24">
        <f t="shared" si="54"/>
        <v>0</v>
      </c>
      <c r="H88" s="24">
        <f t="shared" si="54"/>
        <v>0</v>
      </c>
      <c r="I88" s="24">
        <f t="shared" si="54"/>
        <v>0</v>
      </c>
      <c r="J88" s="24">
        <f t="shared" si="54"/>
        <v>-499</v>
      </c>
      <c r="K88" s="24">
        <f t="shared" si="54"/>
        <v>-499</v>
      </c>
      <c r="L88" s="24">
        <f t="shared" si="54"/>
        <v>-499</v>
      </c>
      <c r="M88" s="24">
        <f t="shared" si="54"/>
        <v>-499</v>
      </c>
      <c r="N88" s="24">
        <f t="shared" si="54"/>
        <v>-499</v>
      </c>
      <c r="O88" s="24">
        <f t="shared" si="54"/>
        <v>-499</v>
      </c>
      <c r="P88" s="24">
        <f t="shared" si="54"/>
        <v>-499</v>
      </c>
      <c r="Q88" s="24">
        <f t="shared" si="54"/>
        <v>-499</v>
      </c>
      <c r="R88" s="24">
        <f t="shared" si="54"/>
        <v>-499</v>
      </c>
      <c r="S88" s="24">
        <f t="shared" si="54"/>
        <v>-998</v>
      </c>
      <c r="T88" s="24">
        <f t="shared" si="54"/>
        <v>-998</v>
      </c>
      <c r="U88" s="24">
        <f t="shared" si="54"/>
        <v>-998</v>
      </c>
      <c r="V88" s="24">
        <f t="shared" si="54"/>
        <v>-998</v>
      </c>
      <c r="W88" s="24">
        <f t="shared" si="54"/>
        <v>-998</v>
      </c>
      <c r="X88" s="24">
        <f t="shared" si="54"/>
        <v>-998</v>
      </c>
      <c r="Y88" s="24">
        <f t="shared" si="54"/>
        <v>-1497</v>
      </c>
      <c r="Z88" s="24">
        <f t="shared" si="54"/>
        <v>-1497</v>
      </c>
      <c r="AA88" s="24">
        <f t="shared" si="54"/>
        <v>-1497</v>
      </c>
      <c r="AB88" s="24">
        <f t="shared" si="54"/>
        <v>-1497</v>
      </c>
      <c r="AC88" s="24">
        <f t="shared" si="54"/>
        <v>-1497</v>
      </c>
      <c r="AD88" s="24">
        <f t="shared" si="54"/>
        <v>-1996</v>
      </c>
      <c r="AE88" s="24">
        <f t="shared" si="54"/>
        <v>-1996</v>
      </c>
      <c r="AF88" s="24">
        <f t="shared" si="54"/>
        <v>-1996</v>
      </c>
      <c r="AG88" s="24">
        <f t="shared" si="54"/>
        <v>-2495</v>
      </c>
      <c r="AH88" s="24">
        <f t="shared" si="54"/>
        <v>-2495</v>
      </c>
      <c r="AI88" s="24">
        <f t="shared" ref="AI88:BJ88" si="55">AI62*$C$8</f>
        <v>-2495</v>
      </c>
      <c r="AJ88" s="24">
        <f t="shared" si="55"/>
        <v>-2994</v>
      </c>
      <c r="AK88" s="24">
        <f t="shared" si="55"/>
        <v>-2994</v>
      </c>
      <c r="AL88" s="24">
        <f t="shared" si="55"/>
        <v>-3493</v>
      </c>
      <c r="AM88" s="24">
        <f t="shared" si="55"/>
        <v>-3493</v>
      </c>
      <c r="AN88" s="24">
        <f t="shared" si="55"/>
        <v>-3493</v>
      </c>
      <c r="AO88" s="24">
        <f t="shared" si="55"/>
        <v>-3493</v>
      </c>
      <c r="AP88" s="24">
        <f t="shared" si="55"/>
        <v>-3493</v>
      </c>
      <c r="AQ88" s="24">
        <f t="shared" si="55"/>
        <v>-3493</v>
      </c>
      <c r="AR88" s="24">
        <f t="shared" si="55"/>
        <v>-3493</v>
      </c>
      <c r="AS88" s="24">
        <f t="shared" si="55"/>
        <v>-3493</v>
      </c>
      <c r="AT88" s="24">
        <f t="shared" si="55"/>
        <v>-3493</v>
      </c>
      <c r="AU88" s="24">
        <f t="shared" si="55"/>
        <v>-3493</v>
      </c>
      <c r="AV88" s="24">
        <f t="shared" si="55"/>
        <v>-3493</v>
      </c>
      <c r="AW88" s="24">
        <f t="shared" si="55"/>
        <v>-2994</v>
      </c>
      <c r="AX88" s="24">
        <f t="shared" si="55"/>
        <v>-2994</v>
      </c>
      <c r="AY88" s="24">
        <f t="shared" si="55"/>
        <v>-2994</v>
      </c>
      <c r="AZ88" s="24">
        <f t="shared" si="55"/>
        <v>-2994</v>
      </c>
      <c r="BA88" s="24">
        <f t="shared" si="55"/>
        <v>-2994</v>
      </c>
      <c r="BB88" s="24">
        <f t="shared" si="55"/>
        <v>-2994</v>
      </c>
      <c r="BC88" s="24">
        <f t="shared" si="55"/>
        <v>-2994</v>
      </c>
      <c r="BD88" s="24">
        <f t="shared" si="55"/>
        <v>-2994</v>
      </c>
      <c r="BE88" s="24">
        <f t="shared" si="55"/>
        <v>-2994</v>
      </c>
      <c r="BF88" s="24">
        <f t="shared" si="55"/>
        <v>-2994</v>
      </c>
      <c r="BG88" s="24">
        <f t="shared" si="55"/>
        <v>-2994</v>
      </c>
      <c r="BH88" s="24">
        <f t="shared" si="55"/>
        <v>-2994</v>
      </c>
      <c r="BI88" s="24">
        <f t="shared" si="55"/>
        <v>-2994</v>
      </c>
      <c r="BJ88" s="24">
        <f t="shared" si="55"/>
        <v>-2994</v>
      </c>
    </row>
    <row r="89" spans="1:68" x14ac:dyDescent="0.35">
      <c r="A89" s="6" t="s">
        <v>181</v>
      </c>
      <c r="B89" s="20" t="s">
        <v>124</v>
      </c>
      <c r="C89" s="24">
        <f t="shared" ref="C89:AH89" si="56">C85+C86+C87+C88</f>
        <v>3500.4850000000001</v>
      </c>
      <c r="D89" s="24">
        <f t="shared" si="56"/>
        <v>7045.9922750000005</v>
      </c>
      <c r="E89" s="24">
        <f t="shared" si="56"/>
        <v>10644.682159125001</v>
      </c>
      <c r="F89" s="24">
        <f t="shared" si="56"/>
        <v>14297.352391511877</v>
      </c>
      <c r="G89" s="24">
        <f t="shared" si="56"/>
        <v>18503.812677384558</v>
      </c>
      <c r="H89" s="24">
        <f t="shared" si="56"/>
        <v>22773.369867545327</v>
      </c>
      <c r="I89" s="24">
        <f t="shared" si="56"/>
        <v>27605.970415558506</v>
      </c>
      <c r="J89" s="24">
        <f t="shared" si="56"/>
        <v>32012.059971791885</v>
      </c>
      <c r="K89" s="24">
        <f t="shared" si="56"/>
        <v>36983.240871368762</v>
      </c>
      <c r="L89" s="24">
        <f t="shared" si="56"/>
        <v>42527.989484439291</v>
      </c>
      <c r="M89" s="24">
        <f t="shared" si="56"/>
        <v>48155.909326705878</v>
      </c>
      <c r="N89" s="24">
        <f t="shared" si="56"/>
        <v>54367.247966606468</v>
      </c>
      <c r="O89" s="24">
        <f t="shared" si="56"/>
        <v>61170.756686105567</v>
      </c>
      <c r="P89" s="24">
        <f t="shared" si="56"/>
        <v>68575.318036397148</v>
      </c>
      <c r="Q89" s="24">
        <f t="shared" si="56"/>
        <v>76090.947806943106</v>
      </c>
      <c r="R89" s="24">
        <f t="shared" si="56"/>
        <v>84218.312024047249</v>
      </c>
      <c r="S89" s="24">
        <f t="shared" si="56"/>
        <v>92467.586704407964</v>
      </c>
      <c r="T89" s="24">
        <f t="shared" si="56"/>
        <v>101339.60050497408</v>
      </c>
      <c r="U89" s="24">
        <f t="shared" si="56"/>
        <v>110843.69451254868</v>
      </c>
      <c r="V89" s="24">
        <f t="shared" si="56"/>
        <v>121488.34993023692</v>
      </c>
      <c r="W89" s="24">
        <f t="shared" si="56"/>
        <v>132791.6751791905</v>
      </c>
      <c r="X89" s="24">
        <f t="shared" si="56"/>
        <v>144763.55030687834</v>
      </c>
      <c r="Y89" s="24">
        <f t="shared" si="56"/>
        <v>157414.00356148151</v>
      </c>
      <c r="Z89" s="24">
        <f t="shared" si="56"/>
        <v>170753.21361490374</v>
      </c>
      <c r="AA89" s="24">
        <f t="shared" si="56"/>
        <v>185290.51181912731</v>
      </c>
      <c r="AB89" s="24">
        <f t="shared" si="56"/>
        <v>201043.86949641421</v>
      </c>
      <c r="AC89" s="24">
        <f t="shared" si="56"/>
        <v>218031.52753886042</v>
      </c>
      <c r="AD89" s="24">
        <f t="shared" si="56"/>
        <v>235773.00045194331</v>
      </c>
      <c r="AE89" s="24">
        <f t="shared" si="56"/>
        <v>254778.59545872247</v>
      </c>
      <c r="AF89" s="24">
        <f t="shared" si="56"/>
        <v>275067.2743906033</v>
      </c>
      <c r="AG89" s="24">
        <f t="shared" si="56"/>
        <v>296658.28350646235</v>
      </c>
      <c r="AH89" s="24">
        <f t="shared" si="56"/>
        <v>319571.15775905928</v>
      </c>
      <c r="AI89" s="24">
        <f t="shared" ref="AI89:BJ89" si="57">AI85+AI86+AI87+AI88</f>
        <v>344324.72512544517</v>
      </c>
      <c r="AJ89" s="24">
        <f t="shared" si="57"/>
        <v>370447.59600232687</v>
      </c>
      <c r="AK89" s="24">
        <f t="shared" si="57"/>
        <v>398459.30994236178</v>
      </c>
      <c r="AL89" s="24">
        <f t="shared" si="57"/>
        <v>428388.19959149719</v>
      </c>
      <c r="AM89" s="24">
        <f t="shared" si="57"/>
        <v>431321.02258536965</v>
      </c>
      <c r="AN89" s="24">
        <f t="shared" si="57"/>
        <v>434297.83792415017</v>
      </c>
      <c r="AO89" s="24">
        <f t="shared" si="57"/>
        <v>437319.30549301242</v>
      </c>
      <c r="AP89" s="24">
        <f t="shared" si="57"/>
        <v>440386.09507540759</v>
      </c>
      <c r="AQ89" s="24">
        <f t="shared" si="57"/>
        <v>443498.88650153868</v>
      </c>
      <c r="AR89" s="24">
        <f t="shared" si="57"/>
        <v>446658.36979906174</v>
      </c>
      <c r="AS89" s="24">
        <f t="shared" si="57"/>
        <v>449865.24534604768</v>
      </c>
      <c r="AT89" s="24">
        <f t="shared" si="57"/>
        <v>453120.22402623837</v>
      </c>
      <c r="AU89" s="24">
        <f t="shared" si="57"/>
        <v>456424.02738663193</v>
      </c>
      <c r="AV89" s="24">
        <f t="shared" si="57"/>
        <v>459777.38779743144</v>
      </c>
      <c r="AW89" s="24">
        <f t="shared" si="57"/>
        <v>463680.04861439293</v>
      </c>
      <c r="AX89" s="24">
        <f t="shared" si="57"/>
        <v>467641.2493436088</v>
      </c>
      <c r="AY89" s="24">
        <f t="shared" si="57"/>
        <v>471661.86808376294</v>
      </c>
      <c r="AZ89" s="24">
        <f t="shared" si="57"/>
        <v>475742.7961050194</v>
      </c>
      <c r="BA89" s="24">
        <f t="shared" si="57"/>
        <v>479884.93804659467</v>
      </c>
      <c r="BB89" s="24">
        <f t="shared" si="57"/>
        <v>484089.21211729362</v>
      </c>
      <c r="BC89" s="24">
        <f t="shared" si="57"/>
        <v>488356.55029905302</v>
      </c>
      <c r="BD89" s="24">
        <f t="shared" si="57"/>
        <v>492687.89855353883</v>
      </c>
      <c r="BE89" s="24">
        <f t="shared" si="57"/>
        <v>497084.21703184192</v>
      </c>
      <c r="BF89" s="24">
        <f t="shared" si="57"/>
        <v>501546.48028731957</v>
      </c>
      <c r="BG89" s="24">
        <f t="shared" si="57"/>
        <v>506075.67749162938</v>
      </c>
      <c r="BH89" s="24">
        <f t="shared" si="57"/>
        <v>510672.81265400379</v>
      </c>
      <c r="BI89" s="24">
        <f t="shared" si="57"/>
        <v>515338.90484381386</v>
      </c>
      <c r="BJ89" s="24">
        <f t="shared" si="57"/>
        <v>520074.98841647105</v>
      </c>
      <c r="BK89" s="24">
        <f>IFERROR(LOOKUP(2,1/((YEAR(EDATE(Controls!$B$6,COLUMN($C$1:$BJ$1)-COLUMN($C$1)))=YEAR(Controls!$B$6)+0)*(COLUMN($C$1:$BJ$1)-COLUMN($C$1)&lt;Controls!$B$7)),$C$89:$BJ$89),0)</f>
        <v>54367.247966606468</v>
      </c>
      <c r="BL89" s="24">
        <f>IFERROR(LOOKUP(2,1/((YEAR(EDATE(Controls!$B$6,COLUMN($C$1:$BJ$1)-COLUMN($C$1)))=YEAR(Controls!$B$6)+1)*(COLUMN($C$1:$BJ$1)-COLUMN($C$1)&lt;Controls!$B$7)),$C$89:$BJ$89),0)</f>
        <v>170753.21361490374</v>
      </c>
      <c r="BM89" s="24">
        <f>IFERROR(LOOKUP(2,1/((YEAR(EDATE(Controls!$B$6,COLUMN($C$1:$BJ$1)-COLUMN($C$1)))=YEAR(Controls!$B$6)+2)*(COLUMN($C$1:$BJ$1)-COLUMN($C$1)&lt;Controls!$B$7)),$C$89:$BJ$89),0)</f>
        <v>428388.19959149719</v>
      </c>
      <c r="BN89" s="24">
        <f>IFERROR(LOOKUP(2,1/((YEAR(EDATE(Controls!$B$6,COLUMN($C$1:$BJ$1)-COLUMN($C$1)))=YEAR(Controls!$B$6)+3)*(COLUMN($C$1:$BJ$1)-COLUMN($C$1)&lt;Controls!$B$7)),$C$89:$BJ$89),0)</f>
        <v>0</v>
      </c>
      <c r="BO89" s="24">
        <f>IFERROR(LOOKUP(2,1/((YEAR(EDATE(Controls!$B$6,COLUMN($C$1:$BJ$1)-COLUMN($C$1)))=YEAR(Controls!$B$6)+4)*(COLUMN($C$1:$BJ$1)-COLUMN($C$1)&lt;Controls!$B$7)),$C$89:$BJ$89),0)</f>
        <v>0</v>
      </c>
      <c r="BP89" s="24">
        <f>IFERROR(LOOKUP(2,1/((YEAR(EDATE(Controls!$B$6,COLUMN($C$1:$BJ$1)-COLUMN($C$1)))=YEAR(Controls!$B$6)+5)*(COLUMN($C$1:$BJ$1)-COLUMN($C$1)&lt;Controls!$B$7)),$C$89:$BJ$89),0)</f>
        <v>0</v>
      </c>
    </row>
    <row r="91" spans="1:68" x14ac:dyDescent="0.35">
      <c r="A91" s="6" t="s">
        <v>182</v>
      </c>
      <c r="B91" s="20" t="s">
        <v>124</v>
      </c>
      <c r="C91" s="24">
        <f t="shared" ref="C91:AH91" si="58">C77+C83+C89</f>
        <v>8691.094000000001</v>
      </c>
      <c r="D91" s="24">
        <f t="shared" si="58"/>
        <v>17113.948472</v>
      </c>
      <c r="E91" s="24">
        <f t="shared" si="58"/>
        <v>25672.387442325999</v>
      </c>
      <c r="F91" s="24">
        <f t="shared" si="58"/>
        <v>34516.692780786609</v>
      </c>
      <c r="G91" s="24">
        <f t="shared" si="58"/>
        <v>44197.353320900656</v>
      </c>
      <c r="H91" s="24">
        <f t="shared" si="58"/>
        <v>54225.612594992352</v>
      </c>
      <c r="I91" s="24">
        <f t="shared" si="58"/>
        <v>64954.367612401824</v>
      </c>
      <c r="J91" s="24">
        <f t="shared" si="58"/>
        <v>75643.836556424547</v>
      </c>
      <c r="K91" s="24">
        <f t="shared" si="58"/>
        <v>87188.537839944154</v>
      </c>
      <c r="L91" s="24">
        <f t="shared" si="58"/>
        <v>99747.939330885289</v>
      </c>
      <c r="M91" s="24">
        <f t="shared" si="58"/>
        <v>112783.84232655606</v>
      </c>
      <c r="N91" s="24">
        <f t="shared" si="58"/>
        <v>126850.01410286123</v>
      </c>
      <c r="O91" s="24">
        <f t="shared" si="58"/>
        <v>141809.44467221817</v>
      </c>
      <c r="P91" s="24">
        <f t="shared" si="58"/>
        <v>158069.08754577028</v>
      </c>
      <c r="Q91" s="24">
        <f t="shared" si="58"/>
        <v>174796.91835185973</v>
      </c>
      <c r="R91" s="24">
        <f t="shared" si="58"/>
        <v>192693.97046718904</v>
      </c>
      <c r="S91" s="24">
        <f t="shared" si="58"/>
        <v>211274.24074963006</v>
      </c>
      <c r="T91" s="24">
        <f t="shared" si="58"/>
        <v>231191.40606876579</v>
      </c>
      <c r="U91" s="24">
        <f t="shared" si="58"/>
        <v>252261.87529848964</v>
      </c>
      <c r="V91" s="24">
        <f t="shared" si="58"/>
        <v>275293.79774399247</v>
      </c>
      <c r="W91" s="24">
        <f t="shared" si="58"/>
        <v>299712.9037648908</v>
      </c>
      <c r="X91" s="24">
        <f t="shared" si="58"/>
        <v>325583.24559664616</v>
      </c>
      <c r="Y91" s="24">
        <f t="shared" si="58"/>
        <v>353067.30677332624</v>
      </c>
      <c r="Z91" s="24">
        <f t="shared" si="58"/>
        <v>382134.49586400087</v>
      </c>
      <c r="AA91" s="24">
        <f t="shared" si="58"/>
        <v>413298.62970083259</v>
      </c>
      <c r="AB91" s="24">
        <f t="shared" si="58"/>
        <v>446781.7566226616</v>
      </c>
      <c r="AC91" s="24">
        <f t="shared" si="58"/>
        <v>482709.67458511365</v>
      </c>
      <c r="AD91" s="24">
        <f t="shared" si="58"/>
        <v>520559.45628167753</v>
      </c>
      <c r="AE91" s="24">
        <f t="shared" si="58"/>
        <v>560998.327960241</v>
      </c>
      <c r="AF91" s="24">
        <f t="shared" si="58"/>
        <v>604054.41870240611</v>
      </c>
      <c r="AG91" s="24">
        <f t="shared" si="58"/>
        <v>650003.20819278318</v>
      </c>
      <c r="AH91" s="24">
        <f t="shared" si="58"/>
        <v>698975.21347899432</v>
      </c>
      <c r="AI91" s="24">
        <f t="shared" ref="AI91:BJ91" si="59">AI77+AI83+AI89</f>
        <v>751450.27078544395</v>
      </c>
      <c r="AJ91" s="24">
        <f t="shared" si="59"/>
        <v>807017.38480938133</v>
      </c>
      <c r="AK91" s="24">
        <f t="shared" si="59"/>
        <v>866505.81603555742</v>
      </c>
      <c r="AL91" s="24">
        <f t="shared" si="59"/>
        <v>930007.08550400147</v>
      </c>
      <c r="AM91" s="24">
        <f t="shared" si="59"/>
        <v>925397.48739458993</v>
      </c>
      <c r="AN91" s="24">
        <f t="shared" si="59"/>
        <v>921080.3724003071</v>
      </c>
      <c r="AO91" s="24">
        <f t="shared" si="59"/>
        <v>917107.01148318395</v>
      </c>
      <c r="AP91" s="24">
        <f t="shared" si="59"/>
        <v>913281.94150789687</v>
      </c>
      <c r="AQ91" s="24">
        <f t="shared" si="59"/>
        <v>909706.28469385614</v>
      </c>
      <c r="AR91" s="24">
        <f t="shared" si="59"/>
        <v>906431.1220902279</v>
      </c>
      <c r="AS91" s="24">
        <f t="shared" si="59"/>
        <v>903458.80004341993</v>
      </c>
      <c r="AT91" s="24">
        <f t="shared" si="59"/>
        <v>900642.68665100564</v>
      </c>
      <c r="AU91" s="24">
        <f t="shared" si="59"/>
        <v>898083.97999966249</v>
      </c>
      <c r="AV91" s="24">
        <f t="shared" si="59"/>
        <v>895833.83787006768</v>
      </c>
      <c r="AW91" s="24">
        <f t="shared" si="59"/>
        <v>894195.68421550537</v>
      </c>
      <c r="AX91" s="24">
        <f t="shared" si="59"/>
        <v>892828.01362706453</v>
      </c>
      <c r="AY91" s="24">
        <f t="shared" si="59"/>
        <v>891782.15209700842</v>
      </c>
      <c r="AZ91" s="24">
        <f t="shared" si="59"/>
        <v>890862.69413397065</v>
      </c>
      <c r="BA91" s="24">
        <f t="shared" si="59"/>
        <v>890219.82226209529</v>
      </c>
      <c r="BB91" s="24">
        <f t="shared" si="59"/>
        <v>889706.92554384749</v>
      </c>
      <c r="BC91" s="24">
        <f t="shared" si="59"/>
        <v>889474.22532103537</v>
      </c>
      <c r="BD91" s="24">
        <f t="shared" si="59"/>
        <v>889375.14996315306</v>
      </c>
      <c r="BE91" s="24">
        <f t="shared" si="59"/>
        <v>889559.96061512642</v>
      </c>
      <c r="BF91" s="24">
        <f t="shared" si="59"/>
        <v>890031.1259524757</v>
      </c>
      <c r="BG91" s="24">
        <f t="shared" si="59"/>
        <v>890593.13993597811</v>
      </c>
      <c r="BH91" s="24">
        <f t="shared" si="59"/>
        <v>891445.08510984806</v>
      </c>
      <c r="BI91" s="24">
        <f t="shared" si="59"/>
        <v>892440.4961428052</v>
      </c>
      <c r="BJ91" s="24">
        <f t="shared" si="59"/>
        <v>893729.74181267223</v>
      </c>
      <c r="BK91" s="24">
        <f>IFERROR(LOOKUP(2,1/((YEAR(EDATE(Controls!$B$6,COLUMN($C$1:$BJ$1)-COLUMN($C$1)))=YEAR(Controls!$B$6)+0)*(COLUMN($C$1:$BJ$1)-COLUMN($C$1)&lt;Controls!$B$7)),$C$91:$BJ$91),0)</f>
        <v>126850.01410286123</v>
      </c>
      <c r="BL91" s="24">
        <f>IFERROR(LOOKUP(2,1/((YEAR(EDATE(Controls!$B$6,COLUMN($C$1:$BJ$1)-COLUMN($C$1)))=YEAR(Controls!$B$6)+1)*(COLUMN($C$1:$BJ$1)-COLUMN($C$1)&lt;Controls!$B$7)),$C$91:$BJ$91),0)</f>
        <v>382134.49586400087</v>
      </c>
      <c r="BM91" s="24">
        <f>IFERROR(LOOKUP(2,1/((YEAR(EDATE(Controls!$B$6,COLUMN($C$1:$BJ$1)-COLUMN($C$1)))=YEAR(Controls!$B$6)+2)*(COLUMN($C$1:$BJ$1)-COLUMN($C$1)&lt;Controls!$B$7)),$C$91:$BJ$91),0)</f>
        <v>930007.08550400147</v>
      </c>
      <c r="BN91" s="24">
        <f>IFERROR(LOOKUP(2,1/((YEAR(EDATE(Controls!$B$6,COLUMN($C$1:$BJ$1)-COLUMN($C$1)))=YEAR(Controls!$B$6)+3)*(COLUMN($C$1:$BJ$1)-COLUMN($C$1)&lt;Controls!$B$7)),$C$91:$BJ$91),0)</f>
        <v>0</v>
      </c>
      <c r="BO91" s="24">
        <f>IFERROR(LOOKUP(2,1/((YEAR(EDATE(Controls!$B$6,COLUMN($C$1:$BJ$1)-COLUMN($C$1)))=YEAR(Controls!$B$6)+4)*(COLUMN($C$1:$BJ$1)-COLUMN($C$1)&lt;Controls!$B$7)),$C$91:$BJ$91),0)</f>
        <v>0</v>
      </c>
      <c r="BP91" s="24">
        <f>IFERROR(LOOKUP(2,1/((YEAR(EDATE(Controls!$B$6,COLUMN($C$1:$BJ$1)-COLUMN($C$1)))=YEAR(Controls!$B$6)+5)*(COLUMN($C$1:$BJ$1)-COLUMN($C$1)&lt;Controls!$B$7)),$C$91:$BJ$91),0)</f>
        <v>0</v>
      </c>
    </row>
    <row r="92" spans="1:68" x14ac:dyDescent="0.35">
      <c r="A92" s="6" t="s">
        <v>183</v>
      </c>
      <c r="B92" s="20" t="s">
        <v>124</v>
      </c>
      <c r="C92" s="24">
        <f t="shared" ref="C92:AH92" si="60">C91*12</f>
        <v>104293.12800000001</v>
      </c>
      <c r="D92" s="24">
        <f t="shared" si="60"/>
        <v>205367.38166399999</v>
      </c>
      <c r="E92" s="24">
        <f t="shared" si="60"/>
        <v>308068.64930791198</v>
      </c>
      <c r="F92" s="24">
        <f t="shared" si="60"/>
        <v>414200.31336943933</v>
      </c>
      <c r="G92" s="24">
        <f t="shared" si="60"/>
        <v>530368.23985080793</v>
      </c>
      <c r="H92" s="24">
        <f t="shared" si="60"/>
        <v>650707.35113990819</v>
      </c>
      <c r="I92" s="24">
        <f t="shared" si="60"/>
        <v>779452.41134882183</v>
      </c>
      <c r="J92" s="24">
        <f t="shared" si="60"/>
        <v>907726.0386770945</v>
      </c>
      <c r="K92" s="24">
        <f t="shared" si="60"/>
        <v>1046262.4540793299</v>
      </c>
      <c r="L92" s="24">
        <f t="shared" si="60"/>
        <v>1196975.2719706234</v>
      </c>
      <c r="M92" s="24">
        <f t="shared" si="60"/>
        <v>1353406.1079186727</v>
      </c>
      <c r="N92" s="24">
        <f t="shared" si="60"/>
        <v>1522200.1692343347</v>
      </c>
      <c r="O92" s="24">
        <f t="shared" si="60"/>
        <v>1701713.3360666181</v>
      </c>
      <c r="P92" s="24">
        <f t="shared" si="60"/>
        <v>1896829.0505492433</v>
      </c>
      <c r="Q92" s="24">
        <f t="shared" si="60"/>
        <v>2097563.0202223165</v>
      </c>
      <c r="R92" s="24">
        <f t="shared" si="60"/>
        <v>2312327.6456062682</v>
      </c>
      <c r="S92" s="24">
        <f t="shared" si="60"/>
        <v>2535290.8889955608</v>
      </c>
      <c r="T92" s="24">
        <f t="shared" si="60"/>
        <v>2774296.8728251895</v>
      </c>
      <c r="U92" s="24">
        <f t="shared" si="60"/>
        <v>3027142.5035818759</v>
      </c>
      <c r="V92" s="24">
        <f t="shared" si="60"/>
        <v>3303525.5729279099</v>
      </c>
      <c r="W92" s="24">
        <f t="shared" si="60"/>
        <v>3596554.8451786898</v>
      </c>
      <c r="X92" s="24">
        <f t="shared" si="60"/>
        <v>3906998.9471597541</v>
      </c>
      <c r="Y92" s="24">
        <f t="shared" si="60"/>
        <v>4236807.6812799145</v>
      </c>
      <c r="Z92" s="24">
        <f t="shared" si="60"/>
        <v>4585613.9503680104</v>
      </c>
      <c r="AA92" s="24">
        <f t="shared" si="60"/>
        <v>4959583.5564099913</v>
      </c>
      <c r="AB92" s="24">
        <f t="shared" si="60"/>
        <v>5361381.0794719392</v>
      </c>
      <c r="AC92" s="24">
        <f t="shared" si="60"/>
        <v>5792516.0950213633</v>
      </c>
      <c r="AD92" s="24">
        <f t="shared" si="60"/>
        <v>6246713.4753801301</v>
      </c>
      <c r="AE92" s="24">
        <f t="shared" si="60"/>
        <v>6731979.9355228916</v>
      </c>
      <c r="AF92" s="24">
        <f t="shared" si="60"/>
        <v>7248653.0244288733</v>
      </c>
      <c r="AG92" s="24">
        <f t="shared" si="60"/>
        <v>7800038.4983133981</v>
      </c>
      <c r="AH92" s="24">
        <f t="shared" si="60"/>
        <v>8387702.5617479319</v>
      </c>
      <c r="AI92" s="24">
        <f t="shared" ref="AI92:BJ92" si="61">AI91*12</f>
        <v>9017403.2494253274</v>
      </c>
      <c r="AJ92" s="24">
        <f t="shared" si="61"/>
        <v>9684208.6177125759</v>
      </c>
      <c r="AK92" s="24">
        <f t="shared" si="61"/>
        <v>10398069.792426689</v>
      </c>
      <c r="AL92" s="24">
        <f t="shared" si="61"/>
        <v>11160085.026048018</v>
      </c>
      <c r="AM92" s="24">
        <f t="shared" si="61"/>
        <v>11104769.848735079</v>
      </c>
      <c r="AN92" s="24">
        <f t="shared" si="61"/>
        <v>11052964.468803685</v>
      </c>
      <c r="AO92" s="24">
        <f t="shared" si="61"/>
        <v>11005284.137798207</v>
      </c>
      <c r="AP92" s="24">
        <f t="shared" si="61"/>
        <v>10959383.298094762</v>
      </c>
      <c r="AQ92" s="24">
        <f t="shared" si="61"/>
        <v>10916475.416326273</v>
      </c>
      <c r="AR92" s="24">
        <f t="shared" si="61"/>
        <v>10877173.465082735</v>
      </c>
      <c r="AS92" s="24">
        <f t="shared" si="61"/>
        <v>10841505.600521039</v>
      </c>
      <c r="AT92" s="24">
        <f t="shared" si="61"/>
        <v>10807712.239812069</v>
      </c>
      <c r="AU92" s="24">
        <f t="shared" si="61"/>
        <v>10777007.75999595</v>
      </c>
      <c r="AV92" s="24">
        <f t="shared" si="61"/>
        <v>10750006.054440811</v>
      </c>
      <c r="AW92" s="24">
        <f t="shared" si="61"/>
        <v>10730348.210586064</v>
      </c>
      <c r="AX92" s="24">
        <f t="shared" si="61"/>
        <v>10713936.163524775</v>
      </c>
      <c r="AY92" s="24">
        <f t="shared" si="61"/>
        <v>10701385.825164102</v>
      </c>
      <c r="AZ92" s="24">
        <f t="shared" si="61"/>
        <v>10690352.329607647</v>
      </c>
      <c r="BA92" s="24">
        <f t="shared" si="61"/>
        <v>10682637.867145143</v>
      </c>
      <c r="BB92" s="24">
        <f t="shared" si="61"/>
        <v>10676483.10652617</v>
      </c>
      <c r="BC92" s="24">
        <f t="shared" si="61"/>
        <v>10673690.703852424</v>
      </c>
      <c r="BD92" s="24">
        <f t="shared" si="61"/>
        <v>10672501.799557837</v>
      </c>
      <c r="BE92" s="24">
        <f t="shared" si="61"/>
        <v>10674719.527381517</v>
      </c>
      <c r="BF92" s="24">
        <f t="shared" si="61"/>
        <v>10680373.511429708</v>
      </c>
      <c r="BG92" s="24">
        <f t="shared" si="61"/>
        <v>10687117.679231737</v>
      </c>
      <c r="BH92" s="24">
        <f t="shared" si="61"/>
        <v>10697341.021318177</v>
      </c>
      <c r="BI92" s="24">
        <f t="shared" si="61"/>
        <v>10709285.953713663</v>
      </c>
      <c r="BJ92" s="24">
        <f t="shared" si="61"/>
        <v>10724756.901752066</v>
      </c>
      <c r="BK92" s="24">
        <f>IFERROR(LOOKUP(2,1/((YEAR(EDATE(Controls!$B$6,COLUMN($C$1:$BJ$1)-COLUMN($C$1)))=YEAR(Controls!$B$6)+0)*(COLUMN($C$1:$BJ$1)-COLUMN($C$1)&lt;Controls!$B$7)),$C$92:$BJ$92),0)</f>
        <v>1522200.1692343347</v>
      </c>
      <c r="BL92" s="24">
        <f>IFERROR(LOOKUP(2,1/((YEAR(EDATE(Controls!$B$6,COLUMN($C$1:$BJ$1)-COLUMN($C$1)))=YEAR(Controls!$B$6)+1)*(COLUMN($C$1:$BJ$1)-COLUMN($C$1)&lt;Controls!$B$7)),$C$92:$BJ$92),0)</f>
        <v>4585613.9503680104</v>
      </c>
      <c r="BM92" s="24">
        <f>IFERROR(LOOKUP(2,1/((YEAR(EDATE(Controls!$B$6,COLUMN($C$1:$BJ$1)-COLUMN($C$1)))=YEAR(Controls!$B$6)+2)*(COLUMN($C$1:$BJ$1)-COLUMN($C$1)&lt;Controls!$B$7)),$C$92:$BJ$92),0)</f>
        <v>11160085.026048018</v>
      </c>
      <c r="BN92" s="24">
        <f>IFERROR(LOOKUP(2,1/((YEAR(EDATE(Controls!$B$6,COLUMN($C$1:$BJ$1)-COLUMN($C$1)))=YEAR(Controls!$B$6)+3)*(COLUMN($C$1:$BJ$1)-COLUMN($C$1)&lt;Controls!$B$7)),$C$92:$BJ$92),0)</f>
        <v>0</v>
      </c>
      <c r="BO92" s="24">
        <f>IFERROR(LOOKUP(2,1/((YEAR(EDATE(Controls!$B$6,COLUMN($C$1:$BJ$1)-COLUMN($C$1)))=YEAR(Controls!$B$6)+4)*(COLUMN($C$1:$BJ$1)-COLUMN($C$1)&lt;Controls!$B$7)),$C$92:$BJ$92),0)</f>
        <v>0</v>
      </c>
      <c r="BP92" s="24">
        <f>IFERROR(LOOKUP(2,1/((YEAR(EDATE(Controls!$B$6,COLUMN($C$1:$BJ$1)-COLUMN($C$1)))=YEAR(Controls!$B$6)+5)*(COLUMN($C$1:$BJ$1)-COLUMN($C$1)&lt;Controls!$B$7)),$C$92:$BJ$92),0)</f>
        <v>0</v>
      </c>
    </row>
    <row r="93" spans="1:68" x14ac:dyDescent="0.35">
      <c r="A93" s="6" t="s">
        <v>184</v>
      </c>
      <c r="B93" s="20" t="s">
        <v>110</v>
      </c>
      <c r="C93" s="27">
        <f t="shared" ref="C93:AH93" si="62">IFERROR((C73+C79+C85+C75+C81+C87+C76+C82+C88)/(C73+C79+C85),0)</f>
        <v>1.0106468330134355</v>
      </c>
      <c r="D93" s="27">
        <f t="shared" si="62"/>
        <v>1.0044706077278649</v>
      </c>
      <c r="E93" s="27">
        <f t="shared" si="62"/>
        <v>0.99576012339918429</v>
      </c>
      <c r="F93" s="27">
        <f t="shared" si="62"/>
        <v>0.99677884802396466</v>
      </c>
      <c r="G93" s="27">
        <f t="shared" si="62"/>
        <v>0.99448558235011697</v>
      </c>
      <c r="H93" s="27">
        <f t="shared" si="62"/>
        <v>0.99686088158037522</v>
      </c>
      <c r="I93" s="27">
        <f t="shared" si="62"/>
        <v>0.99569861968489648</v>
      </c>
      <c r="J93" s="27">
        <f t="shared" si="62"/>
        <v>0.9889533054919577</v>
      </c>
      <c r="K93" s="27">
        <f t="shared" si="62"/>
        <v>0.98934085375377601</v>
      </c>
      <c r="L93" s="27">
        <f t="shared" si="62"/>
        <v>0.99100112780307004</v>
      </c>
      <c r="M93" s="27">
        <f t="shared" si="62"/>
        <v>0.99146752293793317</v>
      </c>
      <c r="N93" s="27">
        <f t="shared" si="62"/>
        <v>0.99278417717549938</v>
      </c>
      <c r="O93" s="27">
        <f t="shared" si="62"/>
        <v>0.99279803445743209</v>
      </c>
      <c r="P93" s="27">
        <f t="shared" si="62"/>
        <v>0.99432790158436146</v>
      </c>
      <c r="Q93" s="27">
        <f t="shared" si="62"/>
        <v>0.99443807003911511</v>
      </c>
      <c r="R93" s="27">
        <f t="shared" si="62"/>
        <v>0.99456541972462897</v>
      </c>
      <c r="S93" s="27">
        <f t="shared" si="62"/>
        <v>0.99218071165430921</v>
      </c>
      <c r="T93" s="27">
        <f t="shared" si="62"/>
        <v>0.99332699208449649</v>
      </c>
      <c r="U93" s="27">
        <f t="shared" si="62"/>
        <v>0.99352687543311602</v>
      </c>
      <c r="V93" s="27">
        <f t="shared" si="62"/>
        <v>0.9939702440065612</v>
      </c>
      <c r="W93" s="27">
        <f t="shared" si="62"/>
        <v>0.99429012207327883</v>
      </c>
      <c r="X93" s="27">
        <f t="shared" si="62"/>
        <v>0.99463600616440018</v>
      </c>
      <c r="Y93" s="27">
        <f t="shared" si="62"/>
        <v>0.99361779559782959</v>
      </c>
      <c r="Z93" s="27">
        <f t="shared" si="62"/>
        <v>0.99396485919696465</v>
      </c>
      <c r="AA93" s="27">
        <f t="shared" si="62"/>
        <v>0.99406788398403312</v>
      </c>
      <c r="AB93" s="27">
        <f t="shared" si="62"/>
        <v>0.99460469278646024</v>
      </c>
      <c r="AC93" s="27">
        <f t="shared" si="62"/>
        <v>0.99503990034351475</v>
      </c>
      <c r="AD93" s="27">
        <f t="shared" si="62"/>
        <v>0.99415131195399653</v>
      </c>
      <c r="AE93" s="27">
        <f t="shared" si="62"/>
        <v>0.99469200244449818</v>
      </c>
      <c r="AF93" s="27">
        <f t="shared" si="62"/>
        <v>0.99496627865522791</v>
      </c>
      <c r="AG93" s="27">
        <f t="shared" si="62"/>
        <v>0.99436439763666384</v>
      </c>
      <c r="AH93" s="27">
        <f t="shared" si="62"/>
        <v>0.9949138793899488</v>
      </c>
      <c r="AI93" s="27">
        <f t="shared" ref="AI93:BJ93" si="63">IFERROR((AI73+AI79+AI85+AI75+AI81+AI87+AI76+AI82+AI88)/(AI73+AI79+AI85),0)</f>
        <v>0.99517301525363489</v>
      </c>
      <c r="AJ93" s="27">
        <f t="shared" si="63"/>
        <v>0.99467445001799049</v>
      </c>
      <c r="AK93" s="27">
        <f t="shared" si="63"/>
        <v>0.99504525076028139</v>
      </c>
      <c r="AL93" s="27">
        <f t="shared" si="63"/>
        <v>0.99480588537518688</v>
      </c>
      <c r="AM93" s="27">
        <f t="shared" si="63"/>
        <v>0.99504348065594206</v>
      </c>
      <c r="AN93" s="27">
        <f t="shared" si="63"/>
        <v>0.99533485334346716</v>
      </c>
      <c r="AO93" s="27">
        <f t="shared" si="63"/>
        <v>0.99568619521576729</v>
      </c>
      <c r="AP93" s="27">
        <f t="shared" si="63"/>
        <v>0.9958291999435257</v>
      </c>
      <c r="AQ93" s="27">
        <f t="shared" si="63"/>
        <v>0.9960848269832896</v>
      </c>
      <c r="AR93" s="27">
        <f t="shared" si="63"/>
        <v>0.99639975818708293</v>
      </c>
      <c r="AS93" s="27">
        <f t="shared" si="63"/>
        <v>0.99672085172897207</v>
      </c>
      <c r="AT93" s="27">
        <f t="shared" si="63"/>
        <v>0.99688296423447442</v>
      </c>
      <c r="AU93" s="27">
        <f t="shared" si="63"/>
        <v>0.99715902134190693</v>
      </c>
      <c r="AV93" s="27">
        <f t="shared" si="63"/>
        <v>0.99749450810870099</v>
      </c>
      <c r="AW93" s="27">
        <f t="shared" si="63"/>
        <v>0.99817136439224341</v>
      </c>
      <c r="AX93" s="27">
        <f t="shared" si="63"/>
        <v>0.99847050191296705</v>
      </c>
      <c r="AY93" s="27">
        <f t="shared" si="63"/>
        <v>0.99882859686961734</v>
      </c>
      <c r="AZ93" s="27">
        <f t="shared" si="63"/>
        <v>0.9989689657268026</v>
      </c>
      <c r="BA93" s="27">
        <f t="shared" si="63"/>
        <v>0.99927837154242927</v>
      </c>
      <c r="BB93" s="27">
        <f t="shared" si="63"/>
        <v>0.99942385385561916</v>
      </c>
      <c r="BC93" s="27">
        <f t="shared" si="63"/>
        <v>0.99973845294879549</v>
      </c>
      <c r="BD93" s="27">
        <f t="shared" si="63"/>
        <v>0.99988861357073444</v>
      </c>
      <c r="BE93" s="27">
        <f t="shared" si="63"/>
        <v>1.0002077983087125</v>
      </c>
      <c r="BF93" s="27">
        <f t="shared" si="63"/>
        <v>1.0005296611338301</v>
      </c>
      <c r="BG93" s="27">
        <f t="shared" si="63"/>
        <v>1.0006314543021186</v>
      </c>
      <c r="BH93" s="27">
        <f t="shared" si="63"/>
        <v>1.0009566042401037</v>
      </c>
      <c r="BI93" s="27">
        <f t="shared" si="63"/>
        <v>1.0011166263066384</v>
      </c>
      <c r="BJ93" s="27">
        <f t="shared" si="63"/>
        <v>1.0014446292782984</v>
      </c>
      <c r="BK93" s="27">
        <f>IFERROR(SUMPRODUCT((YEAR(EDATE(Controls!$B$6,COLUMN($C$1:$BJ$1)-COLUMN($C$1)))=YEAR(Controls!$B$6)+0)*(COLUMN($C$1:$BJ$1)-COLUMN($C$1)&lt;Controls!$B$7)*$C$93:$BJ$93)/SUMPRODUCT((YEAR(EDATE(Controls!$B$6,COLUMN($C$1:$BJ$1)-COLUMN($C$1)))=YEAR(Controls!$B$6)+0)*(COLUMN($C$1:$BJ$1)-COLUMN($C$1)&lt;Controls!$B$7)*1),0)</f>
        <v>0.99568737357850612</v>
      </c>
      <c r="BL93" s="27">
        <f>IFERROR(SUMPRODUCT((YEAR(EDATE(Controls!$B$6,COLUMN($C$1:$BJ$1)-COLUMN($C$1)))=YEAR(Controls!$B$6)+1)*(COLUMN($C$1:$BJ$1)-COLUMN($C$1)&lt;Controls!$B$7)*$C$93:$BJ$93)/SUMPRODUCT((YEAR(EDATE(Controls!$B$6,COLUMN($C$1:$BJ$1)-COLUMN($C$1)))=YEAR(Controls!$B$6)+1)*(COLUMN($C$1:$BJ$1)-COLUMN($C$1)&lt;Controls!$B$7)*1),0)</f>
        <v>0.99380358600137442</v>
      </c>
      <c r="BM93" s="27">
        <f>IFERROR(SUMPRODUCT((YEAR(EDATE(Controls!$B$6,COLUMN($C$1:$BJ$1)-COLUMN($C$1)))=YEAR(Controls!$B$6)+2)*(COLUMN($C$1:$BJ$1)-COLUMN($C$1)&lt;Controls!$B$7)*$C$93:$BJ$93)/SUMPRODUCT((YEAR(EDATE(Controls!$B$6,COLUMN($C$1:$BJ$1)-COLUMN($C$1)))=YEAR(Controls!$B$6)+2)*(COLUMN($C$1:$BJ$1)-COLUMN($C$1)&lt;Controls!$B$7)*1),0)</f>
        <v>0.99470824571678629</v>
      </c>
      <c r="BN93" s="27">
        <f>IFERROR(SUMPRODUCT((YEAR(EDATE(Controls!$B$6,COLUMN($C$1:$BJ$1)-COLUMN($C$1)))=YEAR(Controls!$B$6)+3)*(COLUMN($C$1:$BJ$1)-COLUMN($C$1)&lt;Controls!$B$7)*$C$93:$BJ$93)/SUMPRODUCT((YEAR(EDATE(Controls!$B$6,COLUMN($C$1:$BJ$1)-COLUMN($C$1)))=YEAR(Controls!$B$6)+3)*(COLUMN($C$1:$BJ$1)-COLUMN($C$1)&lt;Controls!$B$7)*1),0)</f>
        <v>0</v>
      </c>
      <c r="BO93" s="27">
        <f>IFERROR(SUMPRODUCT((YEAR(EDATE(Controls!$B$6,COLUMN($C$1:$BJ$1)-COLUMN($C$1)))=YEAR(Controls!$B$6)+4)*(COLUMN($C$1:$BJ$1)-COLUMN($C$1)&lt;Controls!$B$7)*$C$93:$BJ$93)/SUMPRODUCT((YEAR(EDATE(Controls!$B$6,COLUMN($C$1:$BJ$1)-COLUMN($C$1)))=YEAR(Controls!$B$6)+4)*(COLUMN($C$1:$BJ$1)-COLUMN($C$1)&lt;Controls!$B$7)*1),0)</f>
        <v>0</v>
      </c>
      <c r="BP93" s="27">
        <f>IFERROR(SUMPRODUCT((YEAR(EDATE(Controls!$B$6,COLUMN($C$1:$BJ$1)-COLUMN($C$1)))=YEAR(Controls!$B$6)+5)*(COLUMN($C$1:$BJ$1)-COLUMN($C$1)&lt;Controls!$B$7)*$C$93:$BJ$93)/SUMPRODUCT((YEAR(EDATE(Controls!$B$6,COLUMN($C$1:$BJ$1)-COLUMN($C$1)))=YEAR(Controls!$B$6)+5)*(COLUMN($C$1:$BJ$1)-COLUMN($C$1)&lt;Controls!$B$7)*1),0)</f>
        <v>0</v>
      </c>
    </row>
    <row r="95" spans="1:68" ht="18" customHeight="1" x14ac:dyDescent="0.35">
      <c r="A95" s="58" t="s">
        <v>185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</row>
    <row r="96" spans="1:68" x14ac:dyDescent="0.35">
      <c r="A96" s="15" t="s">
        <v>186</v>
      </c>
      <c r="B96" s="20" t="s">
        <v>124</v>
      </c>
      <c r="C96" s="24">
        <f t="shared" ref="C96:AH96" si="64">C91*(1-IFERROR((C77*$C$9+C83*$C$10+C89*$C$11)/C91,0))</f>
        <v>5082.9736000000021</v>
      </c>
      <c r="D96" s="24">
        <f t="shared" si="64"/>
        <v>9952.2966068000005</v>
      </c>
      <c r="E96" s="24">
        <f t="shared" si="64"/>
        <v>14905.208107324399</v>
      </c>
      <c r="F96" s="24">
        <f t="shared" si="64"/>
        <v>20039.235653275045</v>
      </c>
      <c r="G96" s="24">
        <f t="shared" si="64"/>
        <v>25594.638550099215</v>
      </c>
      <c r="H96" s="24">
        <f t="shared" si="64"/>
        <v>31376.479341022925</v>
      </c>
      <c r="I96" s="24">
        <f t="shared" si="64"/>
        <v>37489.235833441606</v>
      </c>
      <c r="J96" s="24">
        <f t="shared" si="64"/>
        <v>43692.170205444381</v>
      </c>
      <c r="K96" s="24">
        <f t="shared" si="64"/>
        <v>50326.214272021491</v>
      </c>
      <c r="L96" s="24">
        <f t="shared" si="64"/>
        <v>57492.985462335091</v>
      </c>
      <c r="M96" s="24">
        <f t="shared" si="64"/>
        <v>64980.036560296292</v>
      </c>
      <c r="N96" s="24">
        <f t="shared" si="64"/>
        <v>73007.711136818078</v>
      </c>
      <c r="O96" s="24">
        <f t="shared" si="64"/>
        <v>81484.84889683337</v>
      </c>
      <c r="P96" s="24">
        <f t="shared" si="64"/>
        <v>90688.533422226406</v>
      </c>
      <c r="Q96" s="24">
        <f t="shared" si="64"/>
        <v>100193.25328368094</v>
      </c>
      <c r="R96" s="24">
        <f t="shared" si="64"/>
        <v>110336.98607090249</v>
      </c>
      <c r="S96" s="24">
        <f t="shared" si="64"/>
        <v>120926.44550076521</v>
      </c>
      <c r="T96" s="24">
        <f t="shared" si="64"/>
        <v>132261.47493650991</v>
      </c>
      <c r="U96" s="24">
        <f t="shared" si="64"/>
        <v>144213.21623952707</v>
      </c>
      <c r="V96" s="24">
        <f t="shared" si="64"/>
        <v>157202.02157930005</v>
      </c>
      <c r="W96" s="24">
        <f t="shared" si="64"/>
        <v>170960.62488328692</v>
      </c>
      <c r="X96" s="24">
        <f t="shared" si="64"/>
        <v>185535.70407316045</v>
      </c>
      <c r="Y96" s="24">
        <f t="shared" si="64"/>
        <v>201052.617934412</v>
      </c>
      <c r="Z96" s="24">
        <f t="shared" si="64"/>
        <v>217459.85017710557</v>
      </c>
      <c r="AA96" s="24">
        <f t="shared" si="64"/>
        <v>234986.26627633645</v>
      </c>
      <c r="AB96" s="24">
        <f t="shared" si="64"/>
        <v>253779.33328083146</v>
      </c>
      <c r="AC96" s="24">
        <f t="shared" si="64"/>
        <v>273909.22624006477</v>
      </c>
      <c r="AD96" s="24">
        <f t="shared" si="64"/>
        <v>295171.1452127829</v>
      </c>
      <c r="AE96" s="24">
        <f t="shared" si="64"/>
        <v>317871.56679586775</v>
      </c>
      <c r="AF96" s="24">
        <f t="shared" si="64"/>
        <v>342024.39255773684</v>
      </c>
      <c r="AG96" s="24">
        <f t="shared" si="64"/>
        <v>367818.93264251127</v>
      </c>
      <c r="AH96" s="24">
        <f t="shared" si="64"/>
        <v>395328.22460636834</v>
      </c>
      <c r="AI96" s="24">
        <f t="shared" ref="AI96:BJ96" si="65">AI91*(1-IFERROR((AI77*$C$9+AI83*$C$10+AI89*$C$11)/AI91,0))</f>
        <v>424749.55564038805</v>
      </c>
      <c r="AJ96" s="24">
        <f t="shared" si="65"/>
        <v>455941.45234128297</v>
      </c>
      <c r="AK96" s="24">
        <f t="shared" si="65"/>
        <v>489313.56440936762</v>
      </c>
      <c r="AL96" s="24">
        <f t="shared" si="65"/>
        <v>524926.16520893155</v>
      </c>
      <c r="AM96" s="24">
        <f t="shared" si="65"/>
        <v>520555.21373699192</v>
      </c>
      <c r="AN96" s="24">
        <f t="shared" si="65"/>
        <v>516382.22066889732</v>
      </c>
      <c r="AO96" s="24">
        <f t="shared" si="65"/>
        <v>512447.79137100041</v>
      </c>
      <c r="AP96" s="24">
        <f t="shared" si="65"/>
        <v>508617.48879286583</v>
      </c>
      <c r="AQ96" s="24">
        <f t="shared" si="65"/>
        <v>504949.61776011449</v>
      </c>
      <c r="AR96" s="24">
        <f t="shared" si="65"/>
        <v>501484.61751504784</v>
      </c>
      <c r="AS96" s="24">
        <f t="shared" si="65"/>
        <v>498223.93420090713</v>
      </c>
      <c r="AT96" s="24">
        <f t="shared" si="65"/>
        <v>495072.175953336</v>
      </c>
      <c r="AU96" s="24">
        <f t="shared" si="65"/>
        <v>492087.68821804837</v>
      </c>
      <c r="AV96" s="24">
        <f t="shared" si="65"/>
        <v>489310.95127143641</v>
      </c>
      <c r="AW96" s="24">
        <f t="shared" si="65"/>
        <v>486807.0027097569</v>
      </c>
      <c r="AX96" s="24">
        <f t="shared" si="65"/>
        <v>484476.61574558273</v>
      </c>
      <c r="AY96" s="24">
        <f t="shared" si="65"/>
        <v>482360.34466212714</v>
      </c>
      <c r="AZ96" s="24">
        <f t="shared" si="65"/>
        <v>480323.70204493852</v>
      </c>
      <c r="BA96" s="24">
        <f t="shared" si="65"/>
        <v>478464.14309224644</v>
      </c>
      <c r="BB96" s="24">
        <f t="shared" si="65"/>
        <v>476686.20417337824</v>
      </c>
      <c r="BC96" s="24">
        <f t="shared" si="65"/>
        <v>475087.35951110645</v>
      </c>
      <c r="BD96" s="24">
        <f t="shared" si="65"/>
        <v>473572.16471799742</v>
      </c>
      <c r="BE96" s="24">
        <f t="shared" si="65"/>
        <v>472238.11348160607</v>
      </c>
      <c r="BF96" s="24">
        <f t="shared" si="65"/>
        <v>471086.63110371231</v>
      </c>
      <c r="BG96" s="24">
        <f t="shared" si="65"/>
        <v>469983.10598844365</v>
      </c>
      <c r="BH96" s="24">
        <f t="shared" si="65"/>
        <v>469064.06898288039</v>
      </c>
      <c r="BI96" s="24">
        <f t="shared" si="65"/>
        <v>468234.12794097478</v>
      </c>
      <c r="BJ96" s="24">
        <f t="shared" si="65"/>
        <v>467590.8293915196</v>
      </c>
      <c r="BK96" s="24">
        <f>SUMPRODUCT((YEAR(EDATE(Controls!$B$6,COLUMN($C$1:$BJ$1)-COLUMN($C$1)))=YEAR(Controls!$B$6)+0)*(COLUMN($C$1:$BJ$1)-COLUMN($C$1)&lt;Controls!$B$7)*$C$96:$BJ$96)</f>
        <v>433939.18532887858</v>
      </c>
      <c r="BL96" s="24">
        <f>SUMPRODUCT((YEAR(EDATE(Controls!$B$6,COLUMN($C$1:$BJ$1)-COLUMN($C$1)))=YEAR(Controls!$B$6)+1)*(COLUMN($C$1:$BJ$1)-COLUMN($C$1)&lt;Controls!$B$7)*$C$96:$BJ$96)</f>
        <v>1712315.5769977104</v>
      </c>
      <c r="BM96" s="24">
        <f>SUMPRODUCT((YEAR(EDATE(Controls!$B$6,COLUMN($C$1:$BJ$1)-COLUMN($C$1)))=YEAR(Controls!$B$6)+2)*(COLUMN($C$1:$BJ$1)-COLUMN($C$1)&lt;Controls!$B$7)*$C$96:$BJ$96)</f>
        <v>4375819.8252124693</v>
      </c>
      <c r="BN96" s="24">
        <f>SUMPRODUCT((YEAR(EDATE(Controls!$B$6,COLUMN($C$1:$BJ$1)-COLUMN($C$1)))=YEAR(Controls!$B$6)+3)*(COLUMN($C$1:$BJ$1)-COLUMN($C$1)&lt;Controls!$B$7)*$C$96:$BJ$96)</f>
        <v>0</v>
      </c>
      <c r="BO96" s="24">
        <f>SUMPRODUCT((YEAR(EDATE(Controls!$B$6,COLUMN($C$1:$BJ$1)-COLUMN($C$1)))=YEAR(Controls!$B$6)+4)*(COLUMN($C$1:$BJ$1)-COLUMN($C$1)&lt;Controls!$B$7)*$C$96:$BJ$96)</f>
        <v>0</v>
      </c>
      <c r="BP96" s="24">
        <f>SUMPRODUCT((YEAR(EDATE(Controls!$B$6,COLUMN($C$1:$BJ$1)-COLUMN($C$1)))=YEAR(Controls!$B$6)+5)*(COLUMN($C$1:$BJ$1)-COLUMN($C$1)&lt;Controls!$B$7)*$C$96:$BJ$96)</f>
        <v>0</v>
      </c>
    </row>
    <row r="97" spans="1:68" x14ac:dyDescent="0.35">
      <c r="A97" s="15" t="s">
        <v>187</v>
      </c>
      <c r="B97" s="20" t="s">
        <v>124</v>
      </c>
      <c r="C97" s="24">
        <f t="shared" ref="C97:AH97" si="66">C91*IFERROR((C77*$C$9+C83*$C$10+C89*$C$11)/C91,0)*12</f>
        <v>43297.444799999997</v>
      </c>
      <c r="D97" s="24">
        <f t="shared" si="66"/>
        <v>85939.822382399987</v>
      </c>
      <c r="E97" s="24">
        <f t="shared" si="66"/>
        <v>129206.15202001919</v>
      </c>
      <c r="F97" s="24">
        <f t="shared" si="66"/>
        <v>173729.48553013877</v>
      </c>
      <c r="G97" s="24">
        <f t="shared" si="66"/>
        <v>223232.57724961732</v>
      </c>
      <c r="H97" s="24">
        <f t="shared" si="66"/>
        <v>274189.59904763312</v>
      </c>
      <c r="I97" s="24">
        <f t="shared" si="66"/>
        <v>329581.58134752262</v>
      </c>
      <c r="J97" s="24">
        <f t="shared" si="66"/>
        <v>383419.99621176196</v>
      </c>
      <c r="K97" s="24">
        <f t="shared" si="66"/>
        <v>442347.88281507196</v>
      </c>
      <c r="L97" s="24">
        <f t="shared" si="66"/>
        <v>507059.44642260228</v>
      </c>
      <c r="M97" s="24">
        <f t="shared" si="66"/>
        <v>573645.66919511708</v>
      </c>
      <c r="N97" s="24">
        <f t="shared" si="66"/>
        <v>646107.63559251791</v>
      </c>
      <c r="O97" s="24">
        <f t="shared" si="66"/>
        <v>723895.14930461766</v>
      </c>
      <c r="P97" s="24">
        <f t="shared" si="66"/>
        <v>808566.64948252647</v>
      </c>
      <c r="Q97" s="24">
        <f t="shared" si="66"/>
        <v>895243.98081814544</v>
      </c>
      <c r="R97" s="24">
        <f t="shared" si="66"/>
        <v>988283.8127554385</v>
      </c>
      <c r="S97" s="24">
        <f t="shared" si="66"/>
        <v>1084173.5429863783</v>
      </c>
      <c r="T97" s="24">
        <f t="shared" si="66"/>
        <v>1187159.1735870703</v>
      </c>
      <c r="U97" s="24">
        <f t="shared" si="66"/>
        <v>1296583.9087075507</v>
      </c>
      <c r="V97" s="24">
        <f t="shared" si="66"/>
        <v>1417101.3139763088</v>
      </c>
      <c r="W97" s="24">
        <f t="shared" si="66"/>
        <v>1545027.3465792467</v>
      </c>
      <c r="X97" s="24">
        <f t="shared" si="66"/>
        <v>1680570.4982818281</v>
      </c>
      <c r="Y97" s="24">
        <f t="shared" si="66"/>
        <v>1824176.2660669708</v>
      </c>
      <c r="Z97" s="24">
        <f t="shared" si="66"/>
        <v>1976095.7482427435</v>
      </c>
      <c r="AA97" s="24">
        <f t="shared" si="66"/>
        <v>2139748.3610939537</v>
      </c>
      <c r="AB97" s="24">
        <f t="shared" si="66"/>
        <v>2316029.0801019613</v>
      </c>
      <c r="AC97" s="24">
        <f t="shared" si="66"/>
        <v>2505605.3801405868</v>
      </c>
      <c r="AD97" s="24">
        <f t="shared" si="66"/>
        <v>2704659.7328267358</v>
      </c>
      <c r="AE97" s="24">
        <f t="shared" si="66"/>
        <v>2917521.133972479</v>
      </c>
      <c r="AF97" s="24">
        <f t="shared" si="66"/>
        <v>3144360.3137360313</v>
      </c>
      <c r="AG97" s="24">
        <f t="shared" si="66"/>
        <v>3386211.3066032631</v>
      </c>
      <c r="AH97" s="24">
        <f t="shared" si="66"/>
        <v>3643763.8664715118</v>
      </c>
      <c r="AI97" s="24">
        <f t="shared" ref="AI97:BJ97" si="67">AI91*IFERROR((AI77*$C$9+AI83*$C$10+AI89*$C$11)/AI91,0)*12</f>
        <v>3920408.5817406708</v>
      </c>
      <c r="AJ97" s="24">
        <f t="shared" si="67"/>
        <v>4212911.1896171803</v>
      </c>
      <c r="AK97" s="24">
        <f t="shared" si="67"/>
        <v>4526307.0195142785</v>
      </c>
      <c r="AL97" s="24">
        <f t="shared" si="67"/>
        <v>4860971.0435408382</v>
      </c>
      <c r="AM97" s="24">
        <f t="shared" si="67"/>
        <v>4858107.2838911749</v>
      </c>
      <c r="AN97" s="24">
        <f t="shared" si="67"/>
        <v>4856377.820776918</v>
      </c>
      <c r="AO97" s="24">
        <f t="shared" si="67"/>
        <v>4855910.6413462032</v>
      </c>
      <c r="AP97" s="24">
        <f t="shared" si="67"/>
        <v>4855973.4325803723</v>
      </c>
      <c r="AQ97" s="24">
        <f t="shared" si="67"/>
        <v>4857080.0032048998</v>
      </c>
      <c r="AR97" s="24">
        <f t="shared" si="67"/>
        <v>4859358.0549021605</v>
      </c>
      <c r="AS97" s="24">
        <f t="shared" si="67"/>
        <v>4862818.3901101546</v>
      </c>
      <c r="AT97" s="24">
        <f t="shared" si="67"/>
        <v>4866846.128372035</v>
      </c>
      <c r="AU97" s="24">
        <f t="shared" si="67"/>
        <v>4871955.5013793707</v>
      </c>
      <c r="AV97" s="24">
        <f t="shared" si="67"/>
        <v>4878274.6391835753</v>
      </c>
      <c r="AW97" s="24">
        <f t="shared" si="67"/>
        <v>4888664.1780689815</v>
      </c>
      <c r="AX97" s="24">
        <f t="shared" si="67"/>
        <v>4900216.7745777825</v>
      </c>
      <c r="AY97" s="24">
        <f t="shared" si="67"/>
        <v>4913061.6892185751</v>
      </c>
      <c r="AZ97" s="24">
        <f t="shared" si="67"/>
        <v>4926467.9050683854</v>
      </c>
      <c r="BA97" s="24">
        <f t="shared" si="67"/>
        <v>4941068.1500381865</v>
      </c>
      <c r="BB97" s="24">
        <f t="shared" si="67"/>
        <v>4956248.6564456318</v>
      </c>
      <c r="BC97" s="24">
        <f t="shared" si="67"/>
        <v>4972642.3897191472</v>
      </c>
      <c r="BD97" s="24">
        <f t="shared" si="67"/>
        <v>4989635.8229418676</v>
      </c>
      <c r="BE97" s="24">
        <f t="shared" si="67"/>
        <v>5007862.1656022444</v>
      </c>
      <c r="BF97" s="24">
        <f t="shared" si="67"/>
        <v>5027333.938185161</v>
      </c>
      <c r="BG97" s="24">
        <f t="shared" si="67"/>
        <v>5047320.4073704137</v>
      </c>
      <c r="BH97" s="24">
        <f t="shared" si="67"/>
        <v>5068572.1935236128</v>
      </c>
      <c r="BI97" s="24">
        <f t="shared" si="67"/>
        <v>5090476.4184219642</v>
      </c>
      <c r="BJ97" s="24">
        <f t="shared" si="67"/>
        <v>5113666.9490538314</v>
      </c>
      <c r="BK97" s="24">
        <f>SUMPRODUCT((YEAR(EDATE(Controls!$B$6,COLUMN($C$1:$BJ$1)-COLUMN($C$1)))=YEAR(Controls!$B$6)+0)*(COLUMN($C$1:$BJ$1)-COLUMN($C$1)&lt;Controls!$B$7)*$C$97:$BJ$97)</f>
        <v>3811757.2926144022</v>
      </c>
      <c r="BL97" s="24">
        <f>SUMPRODUCT((YEAR(EDATE(Controls!$B$6,COLUMN($C$1:$BJ$1)-COLUMN($C$1)))=YEAR(Controls!$B$6)+1)*(COLUMN($C$1:$BJ$1)-COLUMN($C$1)&lt;Controls!$B$7)*$C$97:$BJ$97)</f>
        <v>15426877.390788825</v>
      </c>
      <c r="BM97" s="24">
        <f>SUMPRODUCT((YEAR(EDATE(Controls!$B$6,COLUMN($C$1:$BJ$1)-COLUMN($C$1)))=YEAR(Controls!$B$6)+2)*(COLUMN($C$1:$BJ$1)-COLUMN($C$1)&lt;Controls!$B$7)*$C$97:$BJ$97)</f>
        <v>40278497.009359486</v>
      </c>
      <c r="BN97" s="24">
        <f>SUMPRODUCT((YEAR(EDATE(Controls!$B$6,COLUMN($C$1:$BJ$1)-COLUMN($C$1)))=YEAR(Controls!$B$6)+3)*(COLUMN($C$1:$BJ$1)-COLUMN($C$1)&lt;Controls!$B$7)*$C$97:$BJ$97)</f>
        <v>0</v>
      </c>
      <c r="BO97" s="24">
        <f>SUMPRODUCT((YEAR(EDATE(Controls!$B$6,COLUMN($C$1:$BJ$1)-COLUMN($C$1)))=YEAR(Controls!$B$6)+4)*(COLUMN($C$1:$BJ$1)-COLUMN($C$1)&lt;Controls!$B$7)*$C$97:$BJ$97)</f>
        <v>0</v>
      </c>
      <c r="BP97" s="24">
        <f>SUMPRODUCT((YEAR(EDATE(Controls!$B$6,COLUMN($C$1:$BJ$1)-COLUMN($C$1)))=YEAR(Controls!$B$6)+5)*(COLUMN($C$1:$BJ$1)-COLUMN($C$1)&lt;Controls!$B$7)*$C$97:$BJ$97)</f>
        <v>0</v>
      </c>
    </row>
    <row r="98" spans="1:68" x14ac:dyDescent="0.35">
      <c r="A98" s="15" t="s">
        <v>188</v>
      </c>
      <c r="B98" s="20" t="s">
        <v>124</v>
      </c>
      <c r="C98" s="24">
        <f>0</f>
        <v>0</v>
      </c>
      <c r="D98" s="24">
        <f t="shared" ref="D98:AI98" si="68">C101</f>
        <v>39689.324399999998</v>
      </c>
      <c r="E98" s="24">
        <f t="shared" si="68"/>
        <v>114859.37451719999</v>
      </c>
      <c r="F98" s="24">
        <f t="shared" si="68"/>
        <v>222856.58588247214</v>
      </c>
      <c r="G98" s="24">
        <f t="shared" si="68"/>
        <v>361848.9246594201</v>
      </c>
      <c r="H98" s="24">
        <f t="shared" si="68"/>
        <v>533583.43035101588</v>
      </c>
      <c r="I98" s="24">
        <f t="shared" si="68"/>
        <v>736416.31156731443</v>
      </c>
      <c r="J98" s="24">
        <f t="shared" si="68"/>
        <v>971585.82372066635</v>
      </c>
      <c r="K98" s="24">
        <f t="shared" si="68"/>
        <v>1234728.1696068421</v>
      </c>
      <c r="L98" s="24">
        <f t="shared" si="68"/>
        <v>1527965.7134351875</v>
      </c>
      <c r="M98" s="24">
        <f t="shared" si="68"/>
        <v>1853864.2320405862</v>
      </c>
      <c r="N98" s="24">
        <f t="shared" si="68"/>
        <v>2211172.983465754</v>
      </c>
      <c r="O98" s="24">
        <f t="shared" si="68"/>
        <v>2602422.5903226146</v>
      </c>
      <c r="P98" s="24">
        <f t="shared" si="68"/>
        <v>3029409.2720043371</v>
      </c>
      <c r="Q98" s="24">
        <f t="shared" si="68"/>
        <v>3495194.5244538346</v>
      </c>
      <c r="R98" s="24">
        <f t="shared" si="68"/>
        <v>3998089.8834352712</v>
      </c>
      <c r="S98" s="24">
        <f t="shared" si="68"/>
        <v>4540553.9951184886</v>
      </c>
      <c r="T98" s="24">
        <f t="shared" si="68"/>
        <v>5121602.1069361391</v>
      </c>
      <c r="U98" s="24">
        <f t="shared" si="68"/>
        <v>5744231.1578513039</v>
      </c>
      <c r="V98" s="24">
        <f t="shared" si="68"/>
        <v>6410563.5749679552</v>
      </c>
      <c r="W98" s="24">
        <f t="shared" si="68"/>
        <v>7126794.605964303</v>
      </c>
      <c r="X98" s="24">
        <f t="shared" si="68"/>
        <v>7895179.2549379179</v>
      </c>
      <c r="Y98" s="24">
        <f t="shared" si="68"/>
        <v>8717958.6430655401</v>
      </c>
      <c r="Z98" s="24">
        <f t="shared" si="68"/>
        <v>9597578.5254694559</v>
      </c>
      <c r="AA98" s="24">
        <f t="shared" si="68"/>
        <v>10536492.489346262</v>
      </c>
      <c r="AB98" s="24">
        <f t="shared" si="68"/>
        <v>11540065.533438787</v>
      </c>
      <c r="AC98" s="24">
        <f t="shared" si="68"/>
        <v>12613995.323522665</v>
      </c>
      <c r="AD98" s="24">
        <f t="shared" si="68"/>
        <v>13764073.407725234</v>
      </c>
      <c r="AE98" s="24">
        <f t="shared" si="68"/>
        <v>14992065.428780781</v>
      </c>
      <c r="AF98" s="24">
        <f t="shared" si="68"/>
        <v>16303544.762608815</v>
      </c>
      <c r="AG98" s="24">
        <f t="shared" si="68"/>
        <v>17703734.617235743</v>
      </c>
      <c r="AH98" s="24">
        <f t="shared" si="68"/>
        <v>19198331.228540029</v>
      </c>
      <c r="AI98" s="24">
        <f t="shared" si="68"/>
        <v>20793145.26718073</v>
      </c>
      <c r="AJ98" s="24">
        <f t="shared" ref="AJ98:BJ98" si="69">AI101</f>
        <v>22496567.200396277</v>
      </c>
      <c r="AK98" s="24">
        <f t="shared" si="69"/>
        <v>24313259.984782059</v>
      </c>
      <c r="AL98" s="24">
        <f t="shared" si="69"/>
        <v>26252078.390417233</v>
      </c>
      <c r="AM98" s="24">
        <f t="shared" si="69"/>
        <v>28321415.932715982</v>
      </c>
      <c r="AN98" s="24">
        <f t="shared" si="69"/>
        <v>30200006.767248105</v>
      </c>
      <c r="AO98" s="24">
        <f t="shared" si="69"/>
        <v>31906231.275634699</v>
      </c>
      <c r="AP98" s="24">
        <f t="shared" si="69"/>
        <v>33456916.217265561</v>
      </c>
      <c r="AQ98" s="24">
        <f t="shared" si="69"/>
        <v>34866687.359197669</v>
      </c>
      <c r="AR98" s="24">
        <f t="shared" si="69"/>
        <v>36149311.84463267</v>
      </c>
      <c r="AS98" s="24">
        <f t="shared" si="69"/>
        <v>37317422.318174861</v>
      </c>
      <c r="AT98" s="24">
        <f t="shared" si="69"/>
        <v>38382512.904426612</v>
      </c>
      <c r="AU98" s="24">
        <f t="shared" si="69"/>
        <v>39354469.167153105</v>
      </c>
      <c r="AV98" s="24">
        <f t="shared" si="69"/>
        <v>40242749.361555122</v>
      </c>
      <c r="AW98" s="24">
        <f t="shared" si="69"/>
        <v>41056069.353998691</v>
      </c>
      <c r="AX98" s="24">
        <f t="shared" si="69"/>
        <v>41804974.909289315</v>
      </c>
      <c r="AY98" s="24">
        <f t="shared" si="69"/>
        <v>42496388.021504767</v>
      </c>
      <c r="AZ98" s="24">
        <f t="shared" si="69"/>
        <v>43136719.901333481</v>
      </c>
      <c r="BA98" s="24">
        <f t="shared" si="69"/>
        <v>43731128.823282517</v>
      </c>
      <c r="BB98" s="24">
        <f t="shared" si="69"/>
        <v>44284884.128397904</v>
      </c>
      <c r="BC98" s="24">
        <f t="shared" si="69"/>
        <v>44802213.50634598</v>
      </c>
      <c r="BD98" s="24">
        <f t="shared" si="69"/>
        <v>45287540.529678293</v>
      </c>
      <c r="BE98" s="24">
        <f t="shared" si="69"/>
        <v>45744324.228313342</v>
      </c>
      <c r="BF98" s="24">
        <f t="shared" si="69"/>
        <v>46176289.616935402</v>
      </c>
      <c r="BG98" s="24">
        <f t="shared" si="69"/>
        <v>46586834.549641311</v>
      </c>
      <c r="BH98" s="24">
        <f t="shared" si="69"/>
        <v>46978378.145824067</v>
      </c>
      <c r="BI98" s="24">
        <f t="shared" si="69"/>
        <v>47353807.673600346</v>
      </c>
      <c r="BJ98" s="24">
        <f t="shared" si="69"/>
        <v>47715186.117129534</v>
      </c>
    </row>
    <row r="99" spans="1:68" x14ac:dyDescent="0.35">
      <c r="A99" s="15" t="s">
        <v>189</v>
      </c>
      <c r="B99" s="20" t="s">
        <v>124</v>
      </c>
      <c r="C99" s="24">
        <f t="shared" ref="C99:AH99" si="70">C97</f>
        <v>43297.444799999997</v>
      </c>
      <c r="D99" s="24">
        <f t="shared" si="70"/>
        <v>85939.822382399987</v>
      </c>
      <c r="E99" s="24">
        <f t="shared" si="70"/>
        <v>129206.15202001919</v>
      </c>
      <c r="F99" s="24">
        <f t="shared" si="70"/>
        <v>173729.48553013877</v>
      </c>
      <c r="G99" s="24">
        <f t="shared" si="70"/>
        <v>223232.57724961732</v>
      </c>
      <c r="H99" s="24">
        <f t="shared" si="70"/>
        <v>274189.59904763312</v>
      </c>
      <c r="I99" s="24">
        <f t="shared" si="70"/>
        <v>329581.58134752262</v>
      </c>
      <c r="J99" s="24">
        <f t="shared" si="70"/>
        <v>383419.99621176196</v>
      </c>
      <c r="K99" s="24">
        <f t="shared" si="70"/>
        <v>442347.88281507196</v>
      </c>
      <c r="L99" s="24">
        <f t="shared" si="70"/>
        <v>507059.44642260228</v>
      </c>
      <c r="M99" s="24">
        <f t="shared" si="70"/>
        <v>573645.66919511708</v>
      </c>
      <c r="N99" s="24">
        <f t="shared" si="70"/>
        <v>646107.63559251791</v>
      </c>
      <c r="O99" s="24">
        <f t="shared" si="70"/>
        <v>723895.14930461766</v>
      </c>
      <c r="P99" s="24">
        <f t="shared" si="70"/>
        <v>808566.64948252647</v>
      </c>
      <c r="Q99" s="24">
        <f t="shared" si="70"/>
        <v>895243.98081814544</v>
      </c>
      <c r="R99" s="24">
        <f t="shared" si="70"/>
        <v>988283.8127554385</v>
      </c>
      <c r="S99" s="24">
        <f t="shared" si="70"/>
        <v>1084173.5429863783</v>
      </c>
      <c r="T99" s="24">
        <f t="shared" si="70"/>
        <v>1187159.1735870703</v>
      </c>
      <c r="U99" s="24">
        <f t="shared" si="70"/>
        <v>1296583.9087075507</v>
      </c>
      <c r="V99" s="24">
        <f t="shared" si="70"/>
        <v>1417101.3139763088</v>
      </c>
      <c r="W99" s="24">
        <f t="shared" si="70"/>
        <v>1545027.3465792467</v>
      </c>
      <c r="X99" s="24">
        <f t="shared" si="70"/>
        <v>1680570.4982818281</v>
      </c>
      <c r="Y99" s="24">
        <f t="shared" si="70"/>
        <v>1824176.2660669708</v>
      </c>
      <c r="Z99" s="24">
        <f t="shared" si="70"/>
        <v>1976095.7482427435</v>
      </c>
      <c r="AA99" s="24">
        <f t="shared" si="70"/>
        <v>2139748.3610939537</v>
      </c>
      <c r="AB99" s="24">
        <f t="shared" si="70"/>
        <v>2316029.0801019613</v>
      </c>
      <c r="AC99" s="24">
        <f t="shared" si="70"/>
        <v>2505605.3801405868</v>
      </c>
      <c r="AD99" s="24">
        <f t="shared" si="70"/>
        <v>2704659.7328267358</v>
      </c>
      <c r="AE99" s="24">
        <f t="shared" si="70"/>
        <v>2917521.133972479</v>
      </c>
      <c r="AF99" s="24">
        <f t="shared" si="70"/>
        <v>3144360.3137360313</v>
      </c>
      <c r="AG99" s="24">
        <f t="shared" si="70"/>
        <v>3386211.3066032631</v>
      </c>
      <c r="AH99" s="24">
        <f t="shared" si="70"/>
        <v>3643763.8664715118</v>
      </c>
      <c r="AI99" s="24">
        <f t="shared" ref="AI99:BJ99" si="71">AI97</f>
        <v>3920408.5817406708</v>
      </c>
      <c r="AJ99" s="24">
        <f t="shared" si="71"/>
        <v>4212911.1896171803</v>
      </c>
      <c r="AK99" s="24">
        <f t="shared" si="71"/>
        <v>4526307.0195142785</v>
      </c>
      <c r="AL99" s="24">
        <f t="shared" si="71"/>
        <v>4860971.0435408382</v>
      </c>
      <c r="AM99" s="24">
        <f t="shared" si="71"/>
        <v>4858107.2838911749</v>
      </c>
      <c r="AN99" s="24">
        <f t="shared" si="71"/>
        <v>4856377.820776918</v>
      </c>
      <c r="AO99" s="24">
        <f t="shared" si="71"/>
        <v>4855910.6413462032</v>
      </c>
      <c r="AP99" s="24">
        <f t="shared" si="71"/>
        <v>4855973.4325803723</v>
      </c>
      <c r="AQ99" s="24">
        <f t="shared" si="71"/>
        <v>4857080.0032048998</v>
      </c>
      <c r="AR99" s="24">
        <f t="shared" si="71"/>
        <v>4859358.0549021605</v>
      </c>
      <c r="AS99" s="24">
        <f t="shared" si="71"/>
        <v>4862818.3901101546</v>
      </c>
      <c r="AT99" s="24">
        <f t="shared" si="71"/>
        <v>4866846.128372035</v>
      </c>
      <c r="AU99" s="24">
        <f t="shared" si="71"/>
        <v>4871955.5013793707</v>
      </c>
      <c r="AV99" s="24">
        <f t="shared" si="71"/>
        <v>4878274.6391835753</v>
      </c>
      <c r="AW99" s="24">
        <f t="shared" si="71"/>
        <v>4888664.1780689815</v>
      </c>
      <c r="AX99" s="24">
        <f t="shared" si="71"/>
        <v>4900216.7745777825</v>
      </c>
      <c r="AY99" s="24">
        <f t="shared" si="71"/>
        <v>4913061.6892185751</v>
      </c>
      <c r="AZ99" s="24">
        <f t="shared" si="71"/>
        <v>4926467.9050683854</v>
      </c>
      <c r="BA99" s="24">
        <f t="shared" si="71"/>
        <v>4941068.1500381865</v>
      </c>
      <c r="BB99" s="24">
        <f t="shared" si="71"/>
        <v>4956248.6564456318</v>
      </c>
      <c r="BC99" s="24">
        <f t="shared" si="71"/>
        <v>4972642.3897191472</v>
      </c>
      <c r="BD99" s="24">
        <f t="shared" si="71"/>
        <v>4989635.8229418676</v>
      </c>
      <c r="BE99" s="24">
        <f t="shared" si="71"/>
        <v>5007862.1656022444</v>
      </c>
      <c r="BF99" s="24">
        <f t="shared" si="71"/>
        <v>5027333.938185161</v>
      </c>
      <c r="BG99" s="24">
        <f t="shared" si="71"/>
        <v>5047320.4073704137</v>
      </c>
      <c r="BH99" s="24">
        <f t="shared" si="71"/>
        <v>5068572.1935236128</v>
      </c>
      <c r="BI99" s="24">
        <f t="shared" si="71"/>
        <v>5090476.4184219642</v>
      </c>
      <c r="BJ99" s="24">
        <f t="shared" si="71"/>
        <v>5113666.9490538314</v>
      </c>
    </row>
    <row r="100" spans="1:68" x14ac:dyDescent="0.35">
      <c r="A100" s="15" t="s">
        <v>190</v>
      </c>
      <c r="B100" s="20" t="s">
        <v>124</v>
      </c>
      <c r="C100" s="24">
        <f t="shared" ref="C100:AH100" si="72">-IFERROR(C98/11,0)-C99/12</f>
        <v>-3608.1203999999998</v>
      </c>
      <c r="D100" s="24">
        <f t="shared" si="72"/>
        <v>-10769.772265199997</v>
      </c>
      <c r="E100" s="24">
        <f t="shared" si="72"/>
        <v>-21208.940654747053</v>
      </c>
      <c r="F100" s="24">
        <f t="shared" si="72"/>
        <v>-34737.146753190849</v>
      </c>
      <c r="G100" s="24">
        <f t="shared" si="72"/>
        <v>-51498.071558021446</v>
      </c>
      <c r="H100" s="24">
        <f t="shared" si="72"/>
        <v>-71356.717831334507</v>
      </c>
      <c r="I100" s="24">
        <f t="shared" si="72"/>
        <v>-94412.069194170617</v>
      </c>
      <c r="J100" s="24">
        <f t="shared" si="72"/>
        <v>-120277.65032558619</v>
      </c>
      <c r="K100" s="24">
        <f t="shared" si="72"/>
        <v>-149110.33898672648</v>
      </c>
      <c r="L100" s="24">
        <f t="shared" si="72"/>
        <v>-181160.9278172036</v>
      </c>
      <c r="M100" s="24">
        <f t="shared" si="72"/>
        <v>-216336.91776994942</v>
      </c>
      <c r="N100" s="24">
        <f t="shared" si="72"/>
        <v>-254858.02873565714</v>
      </c>
      <c r="O100" s="24">
        <f t="shared" si="72"/>
        <v>-296908.46762289526</v>
      </c>
      <c r="P100" s="24">
        <f t="shared" si="72"/>
        <v>-342781.397033029</v>
      </c>
      <c r="Q100" s="24">
        <f t="shared" si="72"/>
        <v>-392348.62183670921</v>
      </c>
      <c r="R100" s="24">
        <f t="shared" si="72"/>
        <v>-445819.70107222028</v>
      </c>
      <c r="S100" s="24">
        <f t="shared" si="72"/>
        <v>-503125.43116872746</v>
      </c>
      <c r="T100" s="24">
        <f t="shared" si="72"/>
        <v>-564530.12267190486</v>
      </c>
      <c r="U100" s="24">
        <f t="shared" si="72"/>
        <v>-630251.4915908993</v>
      </c>
      <c r="V100" s="24">
        <f t="shared" si="72"/>
        <v>-700870.28297996102</v>
      </c>
      <c r="W100" s="24">
        <f t="shared" si="72"/>
        <v>-776642.69760563143</v>
      </c>
      <c r="X100" s="24">
        <f t="shared" si="72"/>
        <v>-857791.11015420547</v>
      </c>
      <c r="Y100" s="24">
        <f t="shared" si="72"/>
        <v>-944556.38366305432</v>
      </c>
      <c r="Z100" s="24">
        <f t="shared" si="72"/>
        <v>-1037181.7843659366</v>
      </c>
      <c r="AA100" s="24">
        <f t="shared" si="72"/>
        <v>-1136175.3170014289</v>
      </c>
      <c r="AB100" s="24">
        <f t="shared" si="72"/>
        <v>-1242099.2900180833</v>
      </c>
      <c r="AC100" s="24">
        <f t="shared" si="72"/>
        <v>-1355527.2959380182</v>
      </c>
      <c r="AD100" s="24">
        <f t="shared" si="72"/>
        <v>-1476667.7117711885</v>
      </c>
      <c r="AE100" s="24">
        <f t="shared" si="72"/>
        <v>-1606041.8001444442</v>
      </c>
      <c r="AF100" s="24">
        <f t="shared" si="72"/>
        <v>-1744170.459109107</v>
      </c>
      <c r="AG100" s="24">
        <f t="shared" si="72"/>
        <v>-1891614.6952989758</v>
      </c>
      <c r="AH100" s="24">
        <f t="shared" si="72"/>
        <v>-2048949.8278308106</v>
      </c>
      <c r="AI100" s="24">
        <f t="shared" ref="AI100:BJ100" si="73">-IFERROR(AI98/11,0)-AI99/12</f>
        <v>-2216986.6485251226</v>
      </c>
      <c r="AJ100" s="24">
        <f t="shared" si="73"/>
        <v>-2396218.4052313962</v>
      </c>
      <c r="AK100" s="24">
        <f t="shared" si="73"/>
        <v>-2587488.6138791041</v>
      </c>
      <c r="AL100" s="24">
        <f t="shared" si="73"/>
        <v>-2791633.5012420909</v>
      </c>
      <c r="AM100" s="24">
        <f t="shared" si="73"/>
        <v>-2979516.449359051</v>
      </c>
      <c r="AN100" s="24">
        <f t="shared" si="73"/>
        <v>-3150153.3123903284</v>
      </c>
      <c r="AO100" s="24">
        <f t="shared" si="73"/>
        <v>-3305225.6997153382</v>
      </c>
      <c r="AP100" s="24">
        <f t="shared" si="73"/>
        <v>-3446202.2906482639</v>
      </c>
      <c r="AQ100" s="24">
        <f t="shared" si="73"/>
        <v>-3574455.5177698936</v>
      </c>
      <c r="AR100" s="24">
        <f t="shared" si="73"/>
        <v>-3691247.5813599681</v>
      </c>
      <c r="AS100" s="24">
        <f t="shared" si="73"/>
        <v>-3797727.8038584092</v>
      </c>
      <c r="AT100" s="24">
        <f t="shared" si="73"/>
        <v>-3894889.8656455437</v>
      </c>
      <c r="AU100" s="24">
        <f t="shared" si="73"/>
        <v>-3983675.3069773507</v>
      </c>
      <c r="AV100" s="24">
        <f t="shared" si="73"/>
        <v>-4064954.6467400058</v>
      </c>
      <c r="AW100" s="24">
        <f t="shared" si="73"/>
        <v>-4139758.622778357</v>
      </c>
      <c r="AX100" s="24">
        <f t="shared" si="73"/>
        <v>-4208803.6623623287</v>
      </c>
      <c r="AY100" s="24">
        <f t="shared" si="73"/>
        <v>-4272729.8093898604</v>
      </c>
      <c r="AZ100" s="24">
        <f t="shared" si="73"/>
        <v>-4332058.9831193481</v>
      </c>
      <c r="BA100" s="24">
        <f t="shared" si="73"/>
        <v>-4387312.8449228052</v>
      </c>
      <c r="BB100" s="24">
        <f t="shared" si="73"/>
        <v>-4438919.2784975516</v>
      </c>
      <c r="BC100" s="24">
        <f t="shared" si="73"/>
        <v>-4487315.3663868364</v>
      </c>
      <c r="BD100" s="24">
        <f t="shared" si="73"/>
        <v>-4532852.1243068185</v>
      </c>
      <c r="BE100" s="24">
        <f t="shared" si="73"/>
        <v>-4575896.7769801877</v>
      </c>
      <c r="BF100" s="24">
        <f t="shared" si="73"/>
        <v>-4616789.0054792548</v>
      </c>
      <c r="BG100" s="24">
        <f t="shared" si="73"/>
        <v>-4655776.8111876538</v>
      </c>
      <c r="BH100" s="24">
        <f t="shared" si="73"/>
        <v>-4693142.665747338</v>
      </c>
      <c r="BI100" s="24">
        <f t="shared" si="73"/>
        <v>-4729097.9748927709</v>
      </c>
      <c r="BJ100" s="24">
        <f t="shared" si="73"/>
        <v>-4763883.1048874743</v>
      </c>
    </row>
    <row r="101" spans="1:68" x14ac:dyDescent="0.35">
      <c r="A101" s="15" t="s">
        <v>191</v>
      </c>
      <c r="B101" s="20" t="s">
        <v>124</v>
      </c>
      <c r="C101" s="24">
        <f t="shared" ref="C101:AH101" si="74">C98+C99+C100</f>
        <v>39689.324399999998</v>
      </c>
      <c r="D101" s="24">
        <f t="shared" si="74"/>
        <v>114859.37451719999</v>
      </c>
      <c r="E101" s="24">
        <f t="shared" si="74"/>
        <v>222856.58588247214</v>
      </c>
      <c r="F101" s="24">
        <f t="shared" si="74"/>
        <v>361848.9246594201</v>
      </c>
      <c r="G101" s="24">
        <f t="shared" si="74"/>
        <v>533583.43035101588</v>
      </c>
      <c r="H101" s="24">
        <f t="shared" si="74"/>
        <v>736416.31156731443</v>
      </c>
      <c r="I101" s="24">
        <f t="shared" si="74"/>
        <v>971585.82372066635</v>
      </c>
      <c r="J101" s="24">
        <f t="shared" si="74"/>
        <v>1234728.1696068421</v>
      </c>
      <c r="K101" s="24">
        <f t="shared" si="74"/>
        <v>1527965.7134351875</v>
      </c>
      <c r="L101" s="24">
        <f t="shared" si="74"/>
        <v>1853864.2320405862</v>
      </c>
      <c r="M101" s="24">
        <f t="shared" si="74"/>
        <v>2211172.983465754</v>
      </c>
      <c r="N101" s="24">
        <f t="shared" si="74"/>
        <v>2602422.5903226146</v>
      </c>
      <c r="O101" s="24">
        <f t="shared" si="74"/>
        <v>3029409.2720043371</v>
      </c>
      <c r="P101" s="24">
        <f t="shared" si="74"/>
        <v>3495194.5244538346</v>
      </c>
      <c r="Q101" s="24">
        <f t="shared" si="74"/>
        <v>3998089.8834352712</v>
      </c>
      <c r="R101" s="24">
        <f t="shared" si="74"/>
        <v>4540553.9951184886</v>
      </c>
      <c r="S101" s="24">
        <f t="shared" si="74"/>
        <v>5121602.1069361391</v>
      </c>
      <c r="T101" s="24">
        <f t="shared" si="74"/>
        <v>5744231.1578513039</v>
      </c>
      <c r="U101" s="24">
        <f t="shared" si="74"/>
        <v>6410563.5749679552</v>
      </c>
      <c r="V101" s="24">
        <f t="shared" si="74"/>
        <v>7126794.605964303</v>
      </c>
      <c r="W101" s="24">
        <f t="shared" si="74"/>
        <v>7895179.2549379179</v>
      </c>
      <c r="X101" s="24">
        <f t="shared" si="74"/>
        <v>8717958.6430655401</v>
      </c>
      <c r="Y101" s="24">
        <f t="shared" si="74"/>
        <v>9597578.5254694559</v>
      </c>
      <c r="Z101" s="24">
        <f t="shared" si="74"/>
        <v>10536492.489346262</v>
      </c>
      <c r="AA101" s="24">
        <f t="shared" si="74"/>
        <v>11540065.533438787</v>
      </c>
      <c r="AB101" s="24">
        <f t="shared" si="74"/>
        <v>12613995.323522665</v>
      </c>
      <c r="AC101" s="24">
        <f t="shared" si="74"/>
        <v>13764073.407725234</v>
      </c>
      <c r="AD101" s="24">
        <f t="shared" si="74"/>
        <v>14992065.428780781</v>
      </c>
      <c r="AE101" s="24">
        <f t="shared" si="74"/>
        <v>16303544.762608815</v>
      </c>
      <c r="AF101" s="24">
        <f t="shared" si="74"/>
        <v>17703734.617235743</v>
      </c>
      <c r="AG101" s="24">
        <f t="shared" si="74"/>
        <v>19198331.228540029</v>
      </c>
      <c r="AH101" s="24">
        <f t="shared" si="74"/>
        <v>20793145.26718073</v>
      </c>
      <c r="AI101" s="24">
        <f t="shared" ref="AI101:BJ101" si="75">AI98+AI99+AI100</f>
        <v>22496567.200396277</v>
      </c>
      <c r="AJ101" s="24">
        <f t="shared" si="75"/>
        <v>24313259.984782059</v>
      </c>
      <c r="AK101" s="24">
        <f t="shared" si="75"/>
        <v>26252078.390417233</v>
      </c>
      <c r="AL101" s="24">
        <f t="shared" si="75"/>
        <v>28321415.932715982</v>
      </c>
      <c r="AM101" s="24">
        <f t="shared" si="75"/>
        <v>30200006.767248105</v>
      </c>
      <c r="AN101" s="24">
        <f t="shared" si="75"/>
        <v>31906231.275634699</v>
      </c>
      <c r="AO101" s="24">
        <f t="shared" si="75"/>
        <v>33456916.217265561</v>
      </c>
      <c r="AP101" s="24">
        <f t="shared" si="75"/>
        <v>34866687.359197669</v>
      </c>
      <c r="AQ101" s="24">
        <f t="shared" si="75"/>
        <v>36149311.84463267</v>
      </c>
      <c r="AR101" s="24">
        <f t="shared" si="75"/>
        <v>37317422.318174861</v>
      </c>
      <c r="AS101" s="24">
        <f t="shared" si="75"/>
        <v>38382512.904426612</v>
      </c>
      <c r="AT101" s="24">
        <f t="shared" si="75"/>
        <v>39354469.167153105</v>
      </c>
      <c r="AU101" s="24">
        <f t="shared" si="75"/>
        <v>40242749.361555122</v>
      </c>
      <c r="AV101" s="24">
        <f t="shared" si="75"/>
        <v>41056069.353998691</v>
      </c>
      <c r="AW101" s="24">
        <f t="shared" si="75"/>
        <v>41804974.909289315</v>
      </c>
      <c r="AX101" s="24">
        <f t="shared" si="75"/>
        <v>42496388.021504767</v>
      </c>
      <c r="AY101" s="24">
        <f t="shared" si="75"/>
        <v>43136719.901333481</v>
      </c>
      <c r="AZ101" s="24">
        <f t="shared" si="75"/>
        <v>43731128.823282517</v>
      </c>
      <c r="BA101" s="24">
        <f t="shared" si="75"/>
        <v>44284884.128397904</v>
      </c>
      <c r="BB101" s="24">
        <f t="shared" si="75"/>
        <v>44802213.50634598</v>
      </c>
      <c r="BC101" s="24">
        <f t="shared" si="75"/>
        <v>45287540.529678293</v>
      </c>
      <c r="BD101" s="24">
        <f t="shared" si="75"/>
        <v>45744324.228313342</v>
      </c>
      <c r="BE101" s="24">
        <f t="shared" si="75"/>
        <v>46176289.616935402</v>
      </c>
      <c r="BF101" s="24">
        <f t="shared" si="75"/>
        <v>46586834.549641311</v>
      </c>
      <c r="BG101" s="24">
        <f t="shared" si="75"/>
        <v>46978378.145824067</v>
      </c>
      <c r="BH101" s="24">
        <f t="shared" si="75"/>
        <v>47353807.673600346</v>
      </c>
      <c r="BI101" s="24">
        <f t="shared" si="75"/>
        <v>47715186.117129534</v>
      </c>
      <c r="BJ101" s="24">
        <f t="shared" si="75"/>
        <v>48064969.961295888</v>
      </c>
      <c r="BK101" s="24">
        <f>IFERROR(LOOKUP(2,1/((YEAR(EDATE(Controls!$B$6,COLUMN($C$1:$BJ$1)-COLUMN($C$1)))=YEAR(Controls!$B$6)+0)*(COLUMN($C$1:$BJ$1)-COLUMN($C$1)&lt;Controls!$B$7)),$C$101:$BJ$101),0)</f>
        <v>2602422.5903226146</v>
      </c>
      <c r="BL101" s="24">
        <f>IFERROR(LOOKUP(2,1/((YEAR(EDATE(Controls!$B$6,COLUMN($C$1:$BJ$1)-COLUMN($C$1)))=YEAR(Controls!$B$6)+1)*(COLUMN($C$1:$BJ$1)-COLUMN($C$1)&lt;Controls!$B$7)),$C$101:$BJ$101),0)</f>
        <v>10536492.489346262</v>
      </c>
      <c r="BM101" s="24">
        <f>IFERROR(LOOKUP(2,1/((YEAR(EDATE(Controls!$B$6,COLUMN($C$1:$BJ$1)-COLUMN($C$1)))=YEAR(Controls!$B$6)+2)*(COLUMN($C$1:$BJ$1)-COLUMN($C$1)&lt;Controls!$B$7)),$C$101:$BJ$101),0)</f>
        <v>28321415.932715982</v>
      </c>
      <c r="BN101" s="24">
        <f>IFERROR(LOOKUP(2,1/((YEAR(EDATE(Controls!$B$6,COLUMN($C$1:$BJ$1)-COLUMN($C$1)))=YEAR(Controls!$B$6)+3)*(COLUMN($C$1:$BJ$1)-COLUMN($C$1)&lt;Controls!$B$7)),$C$101:$BJ$101),0)</f>
        <v>0</v>
      </c>
      <c r="BO101" s="24">
        <f>IFERROR(LOOKUP(2,1/((YEAR(EDATE(Controls!$B$6,COLUMN($C$1:$BJ$1)-COLUMN($C$1)))=YEAR(Controls!$B$6)+4)*(COLUMN($C$1:$BJ$1)-COLUMN($C$1)&lt;Controls!$B$7)),$C$101:$BJ$101),0)</f>
        <v>0</v>
      </c>
      <c r="BP101" s="24">
        <f>IFERROR(LOOKUP(2,1/((YEAR(EDATE(Controls!$B$6,COLUMN($C$1:$BJ$1)-COLUMN($C$1)))=YEAR(Controls!$B$6)+5)*(COLUMN($C$1:$BJ$1)-COLUMN($C$1)&lt;Controls!$B$7)),$C$101:$BJ$101),0)</f>
        <v>0</v>
      </c>
    </row>
    <row r="102" spans="1:68" x14ac:dyDescent="0.35">
      <c r="A102" s="6" t="s">
        <v>192</v>
      </c>
      <c r="B102" s="20" t="s">
        <v>124</v>
      </c>
      <c r="C102" s="24">
        <f t="shared" ref="C102:AH102" si="76">C96-C100</f>
        <v>8691.094000000001</v>
      </c>
      <c r="D102" s="24">
        <f t="shared" si="76"/>
        <v>20722.068871999996</v>
      </c>
      <c r="E102" s="24">
        <f t="shared" si="76"/>
        <v>36114.148762071454</v>
      </c>
      <c r="F102" s="24">
        <f t="shared" si="76"/>
        <v>54776.382406465898</v>
      </c>
      <c r="G102" s="24">
        <f t="shared" si="76"/>
        <v>77092.710108120664</v>
      </c>
      <c r="H102" s="24">
        <f t="shared" si="76"/>
        <v>102733.19717235744</v>
      </c>
      <c r="I102" s="24">
        <f t="shared" si="76"/>
        <v>131901.30502761222</v>
      </c>
      <c r="J102" s="24">
        <f t="shared" si="76"/>
        <v>163969.82053103056</v>
      </c>
      <c r="K102" s="24">
        <f t="shared" si="76"/>
        <v>199436.55325874797</v>
      </c>
      <c r="L102" s="24">
        <f t="shared" si="76"/>
        <v>238653.91327953868</v>
      </c>
      <c r="M102" s="24">
        <f t="shared" si="76"/>
        <v>281316.95433024573</v>
      </c>
      <c r="N102" s="24">
        <f t="shared" si="76"/>
        <v>327865.73987247521</v>
      </c>
      <c r="O102" s="24">
        <f t="shared" si="76"/>
        <v>378393.31651972863</v>
      </c>
      <c r="P102" s="24">
        <f t="shared" si="76"/>
        <v>433469.93045525544</v>
      </c>
      <c r="Q102" s="24">
        <f t="shared" si="76"/>
        <v>492541.87512039015</v>
      </c>
      <c r="R102" s="24">
        <f t="shared" si="76"/>
        <v>556156.68714312278</v>
      </c>
      <c r="S102" s="24">
        <f t="shared" si="76"/>
        <v>624051.87666949269</v>
      </c>
      <c r="T102" s="24">
        <f t="shared" si="76"/>
        <v>696791.59760841471</v>
      </c>
      <c r="U102" s="24">
        <f t="shared" si="76"/>
        <v>774464.7078304264</v>
      </c>
      <c r="V102" s="24">
        <f t="shared" si="76"/>
        <v>858072.30455926107</v>
      </c>
      <c r="W102" s="24">
        <f t="shared" si="76"/>
        <v>947603.32248891832</v>
      </c>
      <c r="X102" s="24">
        <f t="shared" si="76"/>
        <v>1043326.8142273659</v>
      </c>
      <c r="Y102" s="24">
        <f t="shared" si="76"/>
        <v>1145609.0015974664</v>
      </c>
      <c r="Z102" s="24">
        <f t="shared" si="76"/>
        <v>1254641.6345430422</v>
      </c>
      <c r="AA102" s="24">
        <f t="shared" si="76"/>
        <v>1371161.5832777654</v>
      </c>
      <c r="AB102" s="24">
        <f t="shared" si="76"/>
        <v>1495878.6232989146</v>
      </c>
      <c r="AC102" s="24">
        <f t="shared" si="76"/>
        <v>1629436.522178083</v>
      </c>
      <c r="AD102" s="24">
        <f t="shared" si="76"/>
        <v>1771838.8569839713</v>
      </c>
      <c r="AE102" s="24">
        <f t="shared" si="76"/>
        <v>1923913.3669403121</v>
      </c>
      <c r="AF102" s="24">
        <f t="shared" si="76"/>
        <v>2086194.851666844</v>
      </c>
      <c r="AG102" s="24">
        <f t="shared" si="76"/>
        <v>2259433.6279414869</v>
      </c>
      <c r="AH102" s="24">
        <f t="shared" si="76"/>
        <v>2444278.0524371788</v>
      </c>
      <c r="AI102" s="24">
        <f t="shared" ref="AI102:BJ102" si="77">AI96-AI100</f>
        <v>2641736.2041655108</v>
      </c>
      <c r="AJ102" s="24">
        <f t="shared" si="77"/>
        <v>2852159.8575726794</v>
      </c>
      <c r="AK102" s="24">
        <f t="shared" si="77"/>
        <v>3076802.1782884719</v>
      </c>
      <c r="AL102" s="24">
        <f t="shared" si="77"/>
        <v>3316559.6664510225</v>
      </c>
      <c r="AM102" s="24">
        <f t="shared" si="77"/>
        <v>3500071.6630960428</v>
      </c>
      <c r="AN102" s="24">
        <f t="shared" si="77"/>
        <v>3666535.5330592259</v>
      </c>
      <c r="AO102" s="24">
        <f t="shared" si="77"/>
        <v>3817673.4910863386</v>
      </c>
      <c r="AP102" s="24">
        <f t="shared" si="77"/>
        <v>3954819.7794411299</v>
      </c>
      <c r="AQ102" s="24">
        <f t="shared" si="77"/>
        <v>4079405.135530008</v>
      </c>
      <c r="AR102" s="24">
        <f t="shared" si="77"/>
        <v>4192732.1988750161</v>
      </c>
      <c r="AS102" s="24">
        <f t="shared" si="77"/>
        <v>4295951.7380593158</v>
      </c>
      <c r="AT102" s="24">
        <f t="shared" si="77"/>
        <v>4389962.0415988797</v>
      </c>
      <c r="AU102" s="24">
        <f t="shared" si="77"/>
        <v>4475762.995195399</v>
      </c>
      <c r="AV102" s="24">
        <f t="shared" si="77"/>
        <v>4554265.5980114425</v>
      </c>
      <c r="AW102" s="24">
        <f t="shared" si="77"/>
        <v>4626565.6254881136</v>
      </c>
      <c r="AX102" s="24">
        <f t="shared" si="77"/>
        <v>4693280.2781079113</v>
      </c>
      <c r="AY102" s="24">
        <f t="shared" si="77"/>
        <v>4755090.1540519875</v>
      </c>
      <c r="AZ102" s="24">
        <f t="shared" si="77"/>
        <v>4812382.6851642868</v>
      </c>
      <c r="BA102" s="24">
        <f t="shared" si="77"/>
        <v>4865776.9880150519</v>
      </c>
      <c r="BB102" s="24">
        <f t="shared" si="77"/>
        <v>4915605.4826709302</v>
      </c>
      <c r="BC102" s="24">
        <f t="shared" si="77"/>
        <v>4962402.7258979427</v>
      </c>
      <c r="BD102" s="24">
        <f t="shared" si="77"/>
        <v>5006424.2890248159</v>
      </c>
      <c r="BE102" s="24">
        <f t="shared" si="77"/>
        <v>5048134.8904617941</v>
      </c>
      <c r="BF102" s="24">
        <f t="shared" si="77"/>
        <v>5087875.6365829669</v>
      </c>
      <c r="BG102" s="24">
        <f t="shared" si="77"/>
        <v>5125759.9171760976</v>
      </c>
      <c r="BH102" s="24">
        <f t="shared" si="77"/>
        <v>5162206.7347302185</v>
      </c>
      <c r="BI102" s="24">
        <f t="shared" si="77"/>
        <v>5197332.102833746</v>
      </c>
      <c r="BJ102" s="24">
        <f t="shared" si="77"/>
        <v>5231473.9342789939</v>
      </c>
      <c r="BK102" s="24">
        <f>SUMPRODUCT((YEAR(EDATE(Controls!$B$6,COLUMN($C$1:$BJ$1)-COLUMN($C$1)))=YEAR(Controls!$B$6)+0)*(COLUMN($C$1:$BJ$1)-COLUMN($C$1)&lt;Controls!$B$7)*$C$102:$BJ$102)</f>
        <v>1643273.8876206658</v>
      </c>
      <c r="BL102" s="24">
        <f>SUMPRODUCT((YEAR(EDATE(Controls!$B$6,COLUMN($C$1:$BJ$1)-COLUMN($C$1)))=YEAR(Controls!$B$6)+1)*(COLUMN($C$1:$BJ$1)-COLUMN($C$1)&lt;Controls!$B$7)*$C$102:$BJ$102)</f>
        <v>9205123.0687628835</v>
      </c>
      <c r="BM102" s="24">
        <f>SUMPRODUCT((YEAR(EDATE(Controls!$B$6,COLUMN($C$1:$BJ$1)-COLUMN($C$1)))=YEAR(Controls!$B$6)+2)*(COLUMN($C$1:$BJ$1)-COLUMN($C$1)&lt;Controls!$B$7)*$C$102:$BJ$102)</f>
        <v>26869393.391202237</v>
      </c>
      <c r="BN102" s="24">
        <f>SUMPRODUCT((YEAR(EDATE(Controls!$B$6,COLUMN($C$1:$BJ$1)-COLUMN($C$1)))=YEAR(Controls!$B$6)+3)*(COLUMN($C$1:$BJ$1)-COLUMN($C$1)&lt;Controls!$B$7)*$C$102:$BJ$102)</f>
        <v>0</v>
      </c>
      <c r="BO102" s="24">
        <f>SUMPRODUCT((YEAR(EDATE(Controls!$B$6,COLUMN($C$1:$BJ$1)-COLUMN($C$1)))=YEAR(Controls!$B$6)+4)*(COLUMN($C$1:$BJ$1)-COLUMN($C$1)&lt;Controls!$B$7)*$C$102:$BJ$102)</f>
        <v>0</v>
      </c>
      <c r="BP102" s="24">
        <f>SUMPRODUCT((YEAR(EDATE(Controls!$B$6,COLUMN($C$1:$BJ$1)-COLUMN($C$1)))=YEAR(Controls!$B$6)+5)*(COLUMN($C$1:$BJ$1)-COLUMN($C$1)&lt;Controls!$B$7)*$C$102:$BJ$102)</f>
        <v>0</v>
      </c>
    </row>
    <row r="104" spans="1:68" x14ac:dyDescent="0.35">
      <c r="A104" s="15" t="s">
        <v>193</v>
      </c>
      <c r="B104" s="20" t="s">
        <v>124</v>
      </c>
      <c r="C104" s="13">
        <v>5000</v>
      </c>
      <c r="D104" s="13">
        <v>5500</v>
      </c>
      <c r="E104" s="13">
        <v>6000</v>
      </c>
      <c r="F104" s="13">
        <v>6500</v>
      </c>
      <c r="G104" s="13">
        <v>7000</v>
      </c>
      <c r="H104" s="13">
        <v>7500</v>
      </c>
      <c r="I104" s="13">
        <v>8000</v>
      </c>
      <c r="J104" s="13">
        <v>8500</v>
      </c>
      <c r="K104" s="13">
        <v>9000</v>
      </c>
      <c r="L104" s="13">
        <v>9500</v>
      </c>
      <c r="M104" s="13">
        <v>10000</v>
      </c>
      <c r="N104" s="13">
        <v>10000</v>
      </c>
      <c r="O104" s="13">
        <v>10000</v>
      </c>
      <c r="P104" s="13">
        <v>11000</v>
      </c>
      <c r="Q104" s="13">
        <v>11000</v>
      </c>
      <c r="R104" s="13">
        <v>12000</v>
      </c>
      <c r="S104" s="13">
        <v>12000</v>
      </c>
      <c r="T104" s="13">
        <v>12000</v>
      </c>
      <c r="U104" s="13">
        <v>13000</v>
      </c>
      <c r="V104" s="13">
        <v>13000</v>
      </c>
      <c r="W104" s="13">
        <v>14000</v>
      </c>
      <c r="X104" s="13">
        <v>14000</v>
      </c>
      <c r="Y104" s="13">
        <v>15000</v>
      </c>
      <c r="Z104" s="13">
        <v>15000</v>
      </c>
      <c r="AA104" s="13">
        <v>15000</v>
      </c>
      <c r="AB104" s="13">
        <v>16000</v>
      </c>
      <c r="AC104" s="13">
        <v>16000</v>
      </c>
      <c r="AD104" s="13">
        <v>17000</v>
      </c>
      <c r="AE104" s="13">
        <v>17000</v>
      </c>
      <c r="AF104" s="13">
        <v>18000</v>
      </c>
      <c r="AG104" s="13">
        <v>18000</v>
      </c>
      <c r="AH104" s="13">
        <v>19000</v>
      </c>
      <c r="AI104" s="13">
        <v>19000</v>
      </c>
      <c r="AJ104" s="13">
        <v>20000</v>
      </c>
      <c r="AK104" s="13">
        <v>20000</v>
      </c>
      <c r="AL104" s="13">
        <v>20000</v>
      </c>
      <c r="AM104" s="13">
        <v>20000</v>
      </c>
      <c r="AN104" s="13">
        <v>21000</v>
      </c>
      <c r="AO104" s="13">
        <v>21000</v>
      </c>
      <c r="AP104" s="13">
        <v>22000</v>
      </c>
      <c r="AQ104" s="13">
        <v>22000</v>
      </c>
      <c r="AR104" s="13">
        <v>23000</v>
      </c>
      <c r="AS104" s="13">
        <v>23000</v>
      </c>
      <c r="AT104" s="13">
        <v>24000</v>
      </c>
      <c r="AU104" s="13">
        <v>24000</v>
      </c>
      <c r="AV104" s="13">
        <v>25000</v>
      </c>
      <c r="AW104" s="13">
        <v>25000</v>
      </c>
      <c r="AX104" s="13">
        <v>25000</v>
      </c>
      <c r="AY104" s="13">
        <v>25000</v>
      </c>
      <c r="AZ104" s="13">
        <v>26000</v>
      </c>
      <c r="BA104" s="13">
        <v>27000</v>
      </c>
      <c r="BB104" s="13">
        <v>27000</v>
      </c>
      <c r="BC104" s="13">
        <v>28000</v>
      </c>
      <c r="BD104" s="13">
        <v>28000</v>
      </c>
      <c r="BE104" s="13">
        <v>29000</v>
      </c>
      <c r="BF104" s="13">
        <v>30000</v>
      </c>
      <c r="BG104" s="13">
        <v>30000</v>
      </c>
      <c r="BH104" s="13">
        <v>31000</v>
      </c>
      <c r="BI104" s="13">
        <v>32000</v>
      </c>
      <c r="BJ104" s="13">
        <v>32000</v>
      </c>
      <c r="BK104" s="24">
        <f>SUMPRODUCT((YEAR(EDATE(Controls!$B$6,COLUMN($C$1:$BJ$1)-COLUMN($C$1)))=YEAR(Controls!$B$6)+0)*(COLUMN($C$1:$BJ$1)-COLUMN($C$1)&lt;Controls!$B$7)*$C$104:$BJ$104)</f>
        <v>92500</v>
      </c>
      <c r="BL104" s="24">
        <f>SUMPRODUCT((YEAR(EDATE(Controls!$B$6,COLUMN($C$1:$BJ$1)-COLUMN($C$1)))=YEAR(Controls!$B$6)+1)*(COLUMN($C$1:$BJ$1)-COLUMN($C$1)&lt;Controls!$B$7)*$C$104:$BJ$104)</f>
        <v>152000</v>
      </c>
      <c r="BM104" s="24">
        <f>SUMPRODUCT((YEAR(EDATE(Controls!$B$6,COLUMN($C$1:$BJ$1)-COLUMN($C$1)))=YEAR(Controls!$B$6)+2)*(COLUMN($C$1:$BJ$1)-COLUMN($C$1)&lt;Controls!$B$7)*$C$104:$BJ$104)</f>
        <v>215000</v>
      </c>
      <c r="BN104" s="24">
        <f>SUMPRODUCT((YEAR(EDATE(Controls!$B$6,COLUMN($C$1:$BJ$1)-COLUMN($C$1)))=YEAR(Controls!$B$6)+3)*(COLUMN($C$1:$BJ$1)-COLUMN($C$1)&lt;Controls!$B$7)*$C$104:$BJ$104)</f>
        <v>0</v>
      </c>
      <c r="BO104" s="24">
        <f>SUMPRODUCT((YEAR(EDATE(Controls!$B$6,COLUMN($C$1:$BJ$1)-COLUMN($C$1)))=YEAR(Controls!$B$6)+4)*(COLUMN($C$1:$BJ$1)-COLUMN($C$1)&lt;Controls!$B$7)*$C$104:$BJ$104)</f>
        <v>0</v>
      </c>
      <c r="BP104" s="24">
        <f>SUMPRODUCT((YEAR(EDATE(Controls!$B$6,COLUMN($C$1:$BJ$1)-COLUMN($C$1)))=YEAR(Controls!$B$6)+5)*(COLUMN($C$1:$BJ$1)-COLUMN($C$1)&lt;Controls!$B$7)*$C$104:$BJ$104)</f>
        <v>0</v>
      </c>
    </row>
    <row r="105" spans="1:68" x14ac:dyDescent="0.35">
      <c r="A105" s="6" t="s">
        <v>194</v>
      </c>
      <c r="B105" s="20" t="s">
        <v>124</v>
      </c>
      <c r="C105" s="24">
        <f t="shared" ref="C105:AH105" si="78">C102+C104</f>
        <v>13691.094000000001</v>
      </c>
      <c r="D105" s="24">
        <f t="shared" si="78"/>
        <v>26222.068871999996</v>
      </c>
      <c r="E105" s="24">
        <f t="shared" si="78"/>
        <v>42114.148762071454</v>
      </c>
      <c r="F105" s="24">
        <f t="shared" si="78"/>
        <v>61276.382406465898</v>
      </c>
      <c r="G105" s="24">
        <f t="shared" si="78"/>
        <v>84092.710108120664</v>
      </c>
      <c r="H105" s="24">
        <f t="shared" si="78"/>
        <v>110233.19717235744</v>
      </c>
      <c r="I105" s="24">
        <f t="shared" si="78"/>
        <v>139901.30502761222</v>
      </c>
      <c r="J105" s="24">
        <f t="shared" si="78"/>
        <v>172469.82053103056</v>
      </c>
      <c r="K105" s="24">
        <f t="shared" si="78"/>
        <v>208436.55325874797</v>
      </c>
      <c r="L105" s="24">
        <f t="shared" si="78"/>
        <v>248153.91327953868</v>
      </c>
      <c r="M105" s="24">
        <f t="shared" si="78"/>
        <v>291316.95433024573</v>
      </c>
      <c r="N105" s="24">
        <f t="shared" si="78"/>
        <v>337865.73987247521</v>
      </c>
      <c r="O105" s="24">
        <f t="shared" si="78"/>
        <v>388393.31651972863</v>
      </c>
      <c r="P105" s="24">
        <f t="shared" si="78"/>
        <v>444469.93045525544</v>
      </c>
      <c r="Q105" s="24">
        <f t="shared" si="78"/>
        <v>503541.87512039015</v>
      </c>
      <c r="R105" s="24">
        <f t="shared" si="78"/>
        <v>568156.68714312278</v>
      </c>
      <c r="S105" s="24">
        <f t="shared" si="78"/>
        <v>636051.87666949269</v>
      </c>
      <c r="T105" s="24">
        <f t="shared" si="78"/>
        <v>708791.59760841471</v>
      </c>
      <c r="U105" s="24">
        <f t="shared" si="78"/>
        <v>787464.7078304264</v>
      </c>
      <c r="V105" s="24">
        <f t="shared" si="78"/>
        <v>871072.30455926107</v>
      </c>
      <c r="W105" s="24">
        <f t="shared" si="78"/>
        <v>961603.32248891832</v>
      </c>
      <c r="X105" s="24">
        <f t="shared" si="78"/>
        <v>1057326.8142273659</v>
      </c>
      <c r="Y105" s="24">
        <f t="shared" si="78"/>
        <v>1160609.0015974664</v>
      </c>
      <c r="Z105" s="24">
        <f t="shared" si="78"/>
        <v>1269641.6345430422</v>
      </c>
      <c r="AA105" s="24">
        <f t="shared" si="78"/>
        <v>1386161.5832777654</v>
      </c>
      <c r="AB105" s="24">
        <f t="shared" si="78"/>
        <v>1511878.6232989146</v>
      </c>
      <c r="AC105" s="24">
        <f t="shared" si="78"/>
        <v>1645436.522178083</v>
      </c>
      <c r="AD105" s="24">
        <f t="shared" si="78"/>
        <v>1788838.8569839713</v>
      </c>
      <c r="AE105" s="24">
        <f t="shared" si="78"/>
        <v>1940913.3669403121</v>
      </c>
      <c r="AF105" s="24">
        <f t="shared" si="78"/>
        <v>2104194.851666844</v>
      </c>
      <c r="AG105" s="24">
        <f t="shared" si="78"/>
        <v>2277433.6279414869</v>
      </c>
      <c r="AH105" s="24">
        <f t="shared" si="78"/>
        <v>2463278.0524371788</v>
      </c>
      <c r="AI105" s="24">
        <f t="shared" ref="AI105:BJ105" si="79">AI102+AI104</f>
        <v>2660736.2041655108</v>
      </c>
      <c r="AJ105" s="24">
        <f t="shared" si="79"/>
        <v>2872159.8575726794</v>
      </c>
      <c r="AK105" s="24">
        <f t="shared" si="79"/>
        <v>3096802.1782884719</v>
      </c>
      <c r="AL105" s="24">
        <f t="shared" si="79"/>
        <v>3336559.6664510225</v>
      </c>
      <c r="AM105" s="24">
        <f t="shared" si="79"/>
        <v>3520071.6630960428</v>
      </c>
      <c r="AN105" s="24">
        <f t="shared" si="79"/>
        <v>3687535.5330592259</v>
      </c>
      <c r="AO105" s="24">
        <f t="shared" si="79"/>
        <v>3838673.4910863386</v>
      </c>
      <c r="AP105" s="24">
        <f t="shared" si="79"/>
        <v>3976819.7794411299</v>
      </c>
      <c r="AQ105" s="24">
        <f t="shared" si="79"/>
        <v>4101405.135530008</v>
      </c>
      <c r="AR105" s="24">
        <f t="shared" si="79"/>
        <v>4215732.1988750156</v>
      </c>
      <c r="AS105" s="24">
        <f t="shared" si="79"/>
        <v>4318951.7380593158</v>
      </c>
      <c r="AT105" s="24">
        <f t="shared" si="79"/>
        <v>4413962.0415988797</v>
      </c>
      <c r="AU105" s="24">
        <f t="shared" si="79"/>
        <v>4499762.995195399</v>
      </c>
      <c r="AV105" s="24">
        <f t="shared" si="79"/>
        <v>4579265.5980114425</v>
      </c>
      <c r="AW105" s="24">
        <f t="shared" si="79"/>
        <v>4651565.6254881136</v>
      </c>
      <c r="AX105" s="24">
        <f t="shared" si="79"/>
        <v>4718280.2781079113</v>
      </c>
      <c r="AY105" s="24">
        <f t="shared" si="79"/>
        <v>4780090.1540519875</v>
      </c>
      <c r="AZ105" s="24">
        <f t="shared" si="79"/>
        <v>4838382.6851642868</v>
      </c>
      <c r="BA105" s="24">
        <f t="shared" si="79"/>
        <v>4892776.9880150519</v>
      </c>
      <c r="BB105" s="24">
        <f t="shared" si="79"/>
        <v>4942605.4826709302</v>
      </c>
      <c r="BC105" s="24">
        <f t="shared" si="79"/>
        <v>4990402.7258979427</v>
      </c>
      <c r="BD105" s="24">
        <f t="shared" si="79"/>
        <v>5034424.2890248159</v>
      </c>
      <c r="BE105" s="24">
        <f t="shared" si="79"/>
        <v>5077134.8904617941</v>
      </c>
      <c r="BF105" s="24">
        <f t="shared" si="79"/>
        <v>5117875.6365829669</v>
      </c>
      <c r="BG105" s="24">
        <f t="shared" si="79"/>
        <v>5155759.9171760976</v>
      </c>
      <c r="BH105" s="24">
        <f t="shared" si="79"/>
        <v>5193206.7347302185</v>
      </c>
      <c r="BI105" s="24">
        <f t="shared" si="79"/>
        <v>5229332.102833746</v>
      </c>
      <c r="BJ105" s="24">
        <f t="shared" si="79"/>
        <v>5263473.9342789939</v>
      </c>
      <c r="BK105" s="24">
        <f>SUMPRODUCT((YEAR(EDATE(Controls!$B$6,COLUMN($C$1:$BJ$1)-COLUMN($C$1)))=YEAR(Controls!$B$6)+0)*(COLUMN($C$1:$BJ$1)-COLUMN($C$1)&lt;Controls!$B$7)*$C$105:$BJ$105)</f>
        <v>1735773.8876206658</v>
      </c>
      <c r="BL105" s="24">
        <f>SUMPRODUCT((YEAR(EDATE(Controls!$B$6,COLUMN($C$1:$BJ$1)-COLUMN($C$1)))=YEAR(Controls!$B$6)+1)*(COLUMN($C$1:$BJ$1)-COLUMN($C$1)&lt;Controls!$B$7)*$C$105:$BJ$105)</f>
        <v>9357123.0687628835</v>
      </c>
      <c r="BM105" s="24">
        <f>SUMPRODUCT((YEAR(EDATE(Controls!$B$6,COLUMN($C$1:$BJ$1)-COLUMN($C$1)))=YEAR(Controls!$B$6)+2)*(COLUMN($C$1:$BJ$1)-COLUMN($C$1)&lt;Controls!$B$7)*$C$105:$BJ$105)</f>
        <v>27084393.391202237</v>
      </c>
      <c r="BN105" s="24">
        <f>SUMPRODUCT((YEAR(EDATE(Controls!$B$6,COLUMN($C$1:$BJ$1)-COLUMN($C$1)))=YEAR(Controls!$B$6)+3)*(COLUMN($C$1:$BJ$1)-COLUMN($C$1)&lt;Controls!$B$7)*$C$105:$BJ$105)</f>
        <v>0</v>
      </c>
      <c r="BO105" s="24">
        <f>SUMPRODUCT((YEAR(EDATE(Controls!$B$6,COLUMN($C$1:$BJ$1)-COLUMN($C$1)))=YEAR(Controls!$B$6)+4)*(COLUMN($C$1:$BJ$1)-COLUMN($C$1)&lt;Controls!$B$7)*$C$105:$BJ$105)</f>
        <v>0</v>
      </c>
      <c r="BP105" s="24">
        <f>SUMPRODUCT((YEAR(EDATE(Controls!$B$6,COLUMN($C$1:$BJ$1)-COLUMN($C$1)))=YEAR(Controls!$B$6)+5)*(COLUMN($C$1:$BJ$1)-COLUMN($C$1)&lt;Controls!$B$7)*$C$105:$BJ$105)</f>
        <v>0</v>
      </c>
    </row>
  </sheetData>
  <mergeCells count="12">
    <mergeCell ref="A68:BP68"/>
    <mergeCell ref="A95:BP95"/>
    <mergeCell ref="A29:BM29"/>
    <mergeCell ref="A39:BP39"/>
    <mergeCell ref="A45:BP45"/>
    <mergeCell ref="A52:BP52"/>
    <mergeCell ref="A59:BP59"/>
    <mergeCell ref="A1:BM1"/>
    <mergeCell ref="A5:BP5"/>
    <mergeCell ref="A13:BP13"/>
    <mergeCell ref="A14:BM14"/>
    <mergeCell ref="A22:BM2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C1:BJ110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AB1"/>
  <sheetViews>
    <sheetView showGridLines="0" zoomScale="70" zoomScaleNormal="70" workbookViewId="0">
      <selection activeCell="AC31" sqref="AC31"/>
    </sheetView>
  </sheetViews>
  <sheetFormatPr defaultColWidth="8.6328125" defaultRowHeight="14.5" x14ac:dyDescent="0.35"/>
  <cols>
    <col min="1" max="34" width="9" customWidth="1"/>
  </cols>
  <sheetData>
    <row r="1" spans="1:28" ht="30" customHeight="1" x14ac:dyDescent="0.35">
      <c r="A1" s="59" t="s">
        <v>195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</sheetData>
  <sheetProtection algorithmName="SHA-512" hashValue="COM/gx6Qz3qXtefxJ/StCHH23TI802cPgf9uX+eyugqfSBoR95sG5rroXwoICWmdOR0pOyoS3L47/7Lof8Yalg==" saltValue="2++SsxUZpyFZ6ohooacn1A==" spinCount="100000" sheet="1" objects="1" scenarios="1"/>
  <mergeCells count="1">
    <mergeCell ref="A1:A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BP2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6" customWidth="1"/>
    <col min="2" max="2" width="12" customWidth="1"/>
    <col min="3" max="62" width="9" customWidth="1"/>
    <col min="63" max="68" width="12" customWidth="1"/>
  </cols>
  <sheetData>
    <row r="1" spans="1:68" ht="27.75" customHeight="1" x14ac:dyDescent="0.35">
      <c r="A1" s="57" t="s">
        <v>196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5" spans="1:68" ht="18" customHeight="1" x14ac:dyDescent="0.35">
      <c r="A5" s="58" t="s">
        <v>197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x14ac:dyDescent="0.35">
      <c r="A6" s="60" t="s">
        <v>198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</row>
    <row r="7" spans="1:68" ht="18" customHeight="1" x14ac:dyDescent="0.35">
      <c r="A7" s="54" t="s">
        <v>199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</row>
    <row r="8" spans="1:68" x14ac:dyDescent="0.35">
      <c r="A8" s="15" t="s">
        <v>200</v>
      </c>
      <c r="B8" s="20" t="s">
        <v>201</v>
      </c>
      <c r="C8" s="10">
        <v>0.2</v>
      </c>
      <c r="D8" s="22" t="s">
        <v>202</v>
      </c>
    </row>
    <row r="9" spans="1:68" x14ac:dyDescent="0.35">
      <c r="A9" s="15" t="s">
        <v>203</v>
      </c>
      <c r="B9" s="20" t="s">
        <v>105</v>
      </c>
      <c r="C9" s="13">
        <v>8000</v>
      </c>
      <c r="D9" s="13">
        <v>8000</v>
      </c>
      <c r="E9" s="13">
        <v>8000</v>
      </c>
      <c r="F9" s="13">
        <v>8000</v>
      </c>
      <c r="G9" s="13">
        <v>8000</v>
      </c>
      <c r="H9" s="13">
        <v>8000</v>
      </c>
      <c r="I9" s="13">
        <v>8000</v>
      </c>
      <c r="J9" s="13">
        <v>8000</v>
      </c>
      <c r="K9" s="13">
        <v>8000</v>
      </c>
      <c r="L9" s="13">
        <v>8000</v>
      </c>
      <c r="M9" s="13">
        <v>8000</v>
      </c>
      <c r="N9" s="13">
        <v>8000</v>
      </c>
      <c r="O9" s="24">
        <f>IF(COLUMN()-2&lt;=Controls!$B$7,C9*(1+$C$8),0)</f>
        <v>9600</v>
      </c>
      <c r="P9" s="24">
        <f>IF(COLUMN()-2&lt;=Controls!$B$7,D9*(1+$C$8),0)</f>
        <v>9600</v>
      </c>
      <c r="Q9" s="24">
        <f>IF(COLUMN()-2&lt;=Controls!$B$7,E9*(1+$C$8),0)</f>
        <v>9600</v>
      </c>
      <c r="R9" s="24">
        <f>IF(COLUMN()-2&lt;=Controls!$B$7,F9*(1+$C$8),0)</f>
        <v>9600</v>
      </c>
      <c r="S9" s="24">
        <f>IF(COLUMN()-2&lt;=Controls!$B$7,G9*(1+$C$8),0)</f>
        <v>9600</v>
      </c>
      <c r="T9" s="24">
        <f>IF(COLUMN()-2&lt;=Controls!$B$7,H9*(1+$C$8),0)</f>
        <v>9600</v>
      </c>
      <c r="U9" s="24">
        <f>IF(COLUMN()-2&lt;=Controls!$B$7,I9*(1+$C$8),0)</f>
        <v>9600</v>
      </c>
      <c r="V9" s="24">
        <f>IF(COLUMN()-2&lt;=Controls!$B$7,J9*(1+$C$8),0)</f>
        <v>9600</v>
      </c>
      <c r="W9" s="24">
        <f>IF(COLUMN()-2&lt;=Controls!$B$7,K9*(1+$C$8),0)</f>
        <v>9600</v>
      </c>
      <c r="X9" s="24">
        <f>IF(COLUMN()-2&lt;=Controls!$B$7,L9*(1+$C$8),0)</f>
        <v>9600</v>
      </c>
      <c r="Y9" s="24">
        <f>IF(COLUMN()-2&lt;=Controls!$B$7,M9*(1+$C$8),0)</f>
        <v>9600</v>
      </c>
      <c r="Z9" s="24">
        <f>IF(COLUMN()-2&lt;=Controls!$B$7,N9*(1+$C$8),0)</f>
        <v>9600</v>
      </c>
      <c r="AA9" s="24">
        <f>IF(COLUMN()-2&lt;=Controls!$B$7,O9*(1+$C$8),0)</f>
        <v>11520</v>
      </c>
      <c r="AB9" s="24">
        <f>IF(COLUMN()-2&lt;=Controls!$B$7,P9*(1+$C$8),0)</f>
        <v>11520</v>
      </c>
      <c r="AC9" s="24">
        <f>IF(COLUMN()-2&lt;=Controls!$B$7,Q9*(1+$C$8),0)</f>
        <v>11520</v>
      </c>
      <c r="AD9" s="24">
        <f>IF(COLUMN()-2&lt;=Controls!$B$7,R9*(1+$C$8),0)</f>
        <v>11520</v>
      </c>
      <c r="AE9" s="24">
        <f>IF(COLUMN()-2&lt;=Controls!$B$7,S9*(1+$C$8),0)</f>
        <v>11520</v>
      </c>
      <c r="AF9" s="24">
        <f>IF(COLUMN()-2&lt;=Controls!$B$7,T9*(1+$C$8),0)</f>
        <v>11520</v>
      </c>
      <c r="AG9" s="24">
        <f>IF(COLUMN()-2&lt;=Controls!$B$7,U9*(1+$C$8),0)</f>
        <v>11520</v>
      </c>
      <c r="AH9" s="24">
        <f>IF(COLUMN()-2&lt;=Controls!$B$7,V9*(1+$C$8),0)</f>
        <v>11520</v>
      </c>
      <c r="AI9" s="24">
        <f>IF(COLUMN()-2&lt;=Controls!$B$7,W9*(1+$C$8),0)</f>
        <v>11520</v>
      </c>
      <c r="AJ9" s="24">
        <f>IF(COLUMN()-2&lt;=Controls!$B$7,X9*(1+$C$8),0)</f>
        <v>11520</v>
      </c>
      <c r="AK9" s="24">
        <f>IF(COLUMN()-2&lt;=Controls!$B$7,Y9*(1+$C$8),0)</f>
        <v>11520</v>
      </c>
      <c r="AL9" s="24">
        <f>IF(COLUMN()-2&lt;=Controls!$B$7,Z9*(1+$C$8),0)</f>
        <v>11520</v>
      </c>
      <c r="AM9" s="24">
        <f>IF(COLUMN()-2&lt;=Controls!$B$7,AA9*(1+$C$8),0)</f>
        <v>0</v>
      </c>
      <c r="AN9" s="24">
        <f>IF(COLUMN()-2&lt;=Controls!$B$7,AB9*(1+$C$8),0)</f>
        <v>0</v>
      </c>
      <c r="AO9" s="24">
        <f>IF(COLUMN()-2&lt;=Controls!$B$7,AC9*(1+$C$8),0)</f>
        <v>0</v>
      </c>
      <c r="AP9" s="24">
        <f>IF(COLUMN()-2&lt;=Controls!$B$7,AD9*(1+$C$8),0)</f>
        <v>0</v>
      </c>
      <c r="AQ9" s="24">
        <f>IF(COLUMN()-2&lt;=Controls!$B$7,AE9*(1+$C$8),0)</f>
        <v>0</v>
      </c>
      <c r="AR9" s="24">
        <f>IF(COLUMN()-2&lt;=Controls!$B$7,AF9*(1+$C$8),0)</f>
        <v>0</v>
      </c>
      <c r="AS9" s="24">
        <f>IF(COLUMN()-2&lt;=Controls!$B$7,AG9*(1+$C$8),0)</f>
        <v>0</v>
      </c>
      <c r="AT9" s="24">
        <f>IF(COLUMN()-2&lt;=Controls!$B$7,AH9*(1+$C$8),0)</f>
        <v>0</v>
      </c>
      <c r="AU9" s="24">
        <f>IF(COLUMN()-2&lt;=Controls!$B$7,AI9*(1+$C$8),0)</f>
        <v>0</v>
      </c>
      <c r="AV9" s="24">
        <f>IF(COLUMN()-2&lt;=Controls!$B$7,AJ9*(1+$C$8),0)</f>
        <v>0</v>
      </c>
      <c r="AW9" s="24">
        <f>IF(COLUMN()-2&lt;=Controls!$B$7,AK9*(1+$C$8),0)</f>
        <v>0</v>
      </c>
      <c r="AX9" s="24">
        <f>IF(COLUMN()-2&lt;=Controls!$B$7,AL9*(1+$C$8),0)</f>
        <v>0</v>
      </c>
      <c r="AY9" s="24">
        <f>IF(COLUMN()-2&lt;=Controls!$B$7,AM9*(1+$C$8),0)</f>
        <v>0</v>
      </c>
      <c r="AZ9" s="24">
        <f>IF(COLUMN()-2&lt;=Controls!$B$7,AN9*(1+$C$8),0)</f>
        <v>0</v>
      </c>
      <c r="BA9" s="24">
        <f>IF(COLUMN()-2&lt;=Controls!$B$7,AO9*(1+$C$8),0)</f>
        <v>0</v>
      </c>
      <c r="BB9" s="24">
        <f>IF(COLUMN()-2&lt;=Controls!$B$7,AP9*(1+$C$8),0)</f>
        <v>0</v>
      </c>
      <c r="BC9" s="24">
        <f>IF(COLUMN()-2&lt;=Controls!$B$7,AQ9*(1+$C$8),0)</f>
        <v>0</v>
      </c>
      <c r="BD9" s="24">
        <f>IF(COLUMN()-2&lt;=Controls!$B$7,AR9*(1+$C$8),0)</f>
        <v>0</v>
      </c>
      <c r="BE9" s="24">
        <f>IF(COLUMN()-2&lt;=Controls!$B$7,AS9*(1+$C$8),0)</f>
        <v>0</v>
      </c>
      <c r="BF9" s="24">
        <f>IF(COLUMN()-2&lt;=Controls!$B$7,AT9*(1+$C$8),0)</f>
        <v>0</v>
      </c>
      <c r="BG9" s="24">
        <f>IF(COLUMN()-2&lt;=Controls!$B$7,AU9*(1+$C$8),0)</f>
        <v>0</v>
      </c>
      <c r="BH9" s="24">
        <f>IF(COLUMN()-2&lt;=Controls!$B$7,AV9*(1+$C$8),0)</f>
        <v>0</v>
      </c>
      <c r="BI9" s="24">
        <f>IF(COLUMN()-2&lt;=Controls!$B$7,AW9*(1+$C$8),0)</f>
        <v>0</v>
      </c>
      <c r="BJ9" s="24">
        <f>IF(COLUMN()-2&lt;=Controls!$B$7,AX9*(1+$C$8),0)</f>
        <v>0</v>
      </c>
      <c r="BK9" s="24">
        <f>SUMPRODUCT((YEAR(EDATE(Controls!$B$6,COLUMN($C$1:$BJ$1)-COLUMN($C$1)))=YEAR(Controls!$B$6)+0)*(COLUMN($C$1:$BJ$1)-COLUMN($C$1)&lt;Controls!$B$7)*$C$9:$BJ$9)</f>
        <v>96000</v>
      </c>
      <c r="BL9" s="24">
        <f>SUMPRODUCT((YEAR(EDATE(Controls!$B$6,COLUMN($C$1:$BJ$1)-COLUMN($C$1)))=YEAR(Controls!$B$6)+1)*(COLUMN($C$1:$BJ$1)-COLUMN($C$1)&lt;Controls!$B$7)*$C$9:$BJ$9)</f>
        <v>115200</v>
      </c>
      <c r="BM9" s="24">
        <f>SUMPRODUCT((YEAR(EDATE(Controls!$B$6,COLUMN($C$1:$BJ$1)-COLUMN($C$1)))=YEAR(Controls!$B$6)+2)*(COLUMN($C$1:$BJ$1)-COLUMN($C$1)&lt;Controls!$B$7)*$C$9:$BJ$9)</f>
        <v>138240</v>
      </c>
      <c r="BN9" s="24">
        <f>SUMPRODUCT((YEAR(EDATE(Controls!$B$6,COLUMN($C$1:$BJ$1)-COLUMN($C$1)))=YEAR(Controls!$B$6)+3)*(COLUMN($C$1:$BJ$1)-COLUMN($C$1)&lt;Controls!$B$7)*$C$9:$BJ$9)</f>
        <v>0</v>
      </c>
      <c r="BO9" s="24">
        <f>SUMPRODUCT((YEAR(EDATE(Controls!$B$6,COLUMN($C$1:$BJ$1)-COLUMN($C$1)))=YEAR(Controls!$B$6)+4)*(COLUMN($C$1:$BJ$1)-COLUMN($C$1)&lt;Controls!$B$7)*$C$9:$BJ$9)</f>
        <v>0</v>
      </c>
      <c r="BP9" s="24">
        <f>SUMPRODUCT((YEAR(EDATE(Controls!$B$6,COLUMN($C$1:$BJ$1)-COLUMN($C$1)))=YEAR(Controls!$B$6)+5)*(COLUMN($C$1:$BJ$1)-COLUMN($C$1)&lt;Controls!$B$7)*$C$9:$BJ$9)</f>
        <v>0</v>
      </c>
    </row>
    <row r="10" spans="1:68" x14ac:dyDescent="0.35">
      <c r="A10" s="6" t="s">
        <v>204</v>
      </c>
      <c r="B10" s="20" t="s">
        <v>105</v>
      </c>
      <c r="C10" s="24">
        <f>C9*(1+Controls!$B$25+Controls!$B$24)</f>
        <v>10052</v>
      </c>
      <c r="D10" s="24">
        <f>D9*(1+Controls!$B$25+Controls!$B$24)</f>
        <v>10052</v>
      </c>
      <c r="E10" s="24">
        <f>E9*(1+Controls!$B$25+Controls!$B$24)</f>
        <v>10052</v>
      </c>
      <c r="F10" s="24">
        <f>F9*(1+Controls!$B$25+Controls!$B$24)</f>
        <v>10052</v>
      </c>
      <c r="G10" s="24">
        <f>G9*(1+Controls!$B$25+Controls!$B$24)</f>
        <v>10052</v>
      </c>
      <c r="H10" s="24">
        <f>H9*(1+Controls!$B$25+Controls!$B$24)</f>
        <v>10052</v>
      </c>
      <c r="I10" s="24">
        <f>I9*(1+Controls!$B$25+Controls!$B$24)</f>
        <v>10052</v>
      </c>
      <c r="J10" s="24">
        <f>J9*(1+Controls!$B$25+Controls!$B$24)</f>
        <v>10052</v>
      </c>
      <c r="K10" s="24">
        <f>K9*(1+Controls!$B$25+Controls!$B$24)</f>
        <v>10052</v>
      </c>
      <c r="L10" s="24">
        <f>L9*(1+Controls!$B$25+Controls!$B$24)</f>
        <v>10052</v>
      </c>
      <c r="M10" s="24">
        <f>M9*(1+Controls!$B$25+Controls!$B$24)</f>
        <v>10052</v>
      </c>
      <c r="N10" s="24">
        <f>N9*(1+Controls!$B$25+Controls!$B$24)</f>
        <v>10052</v>
      </c>
      <c r="O10" s="24">
        <f>O9*(1+Controls!$B$25+Controls!$B$24)</f>
        <v>12062.4</v>
      </c>
      <c r="P10" s="24">
        <f>P9*(1+Controls!$B$25+Controls!$B$24)</f>
        <v>12062.4</v>
      </c>
      <c r="Q10" s="24">
        <f>Q9*(1+Controls!$B$25+Controls!$B$24)</f>
        <v>12062.4</v>
      </c>
      <c r="R10" s="24">
        <f>R9*(1+Controls!$B$25+Controls!$B$24)</f>
        <v>12062.4</v>
      </c>
      <c r="S10" s="24">
        <f>S9*(1+Controls!$B$25+Controls!$B$24)</f>
        <v>12062.4</v>
      </c>
      <c r="T10" s="24">
        <f>T9*(1+Controls!$B$25+Controls!$B$24)</f>
        <v>12062.4</v>
      </c>
      <c r="U10" s="24">
        <f>U9*(1+Controls!$B$25+Controls!$B$24)</f>
        <v>12062.4</v>
      </c>
      <c r="V10" s="24">
        <f>V9*(1+Controls!$B$25+Controls!$B$24)</f>
        <v>12062.4</v>
      </c>
      <c r="W10" s="24">
        <f>W9*(1+Controls!$B$25+Controls!$B$24)</f>
        <v>12062.4</v>
      </c>
      <c r="X10" s="24">
        <f>X9*(1+Controls!$B$25+Controls!$B$24)</f>
        <v>12062.4</v>
      </c>
      <c r="Y10" s="24">
        <f>Y9*(1+Controls!$B$25+Controls!$B$24)</f>
        <v>12062.4</v>
      </c>
      <c r="Z10" s="24">
        <f>Z9*(1+Controls!$B$25+Controls!$B$24)</f>
        <v>12062.4</v>
      </c>
      <c r="AA10" s="24">
        <f>AA9*(1+Controls!$B$25+Controls!$B$24)</f>
        <v>14474.88</v>
      </c>
      <c r="AB10" s="24">
        <f>AB9*(1+Controls!$B$25+Controls!$B$24)</f>
        <v>14474.88</v>
      </c>
      <c r="AC10" s="24">
        <f>AC9*(1+Controls!$B$25+Controls!$B$24)</f>
        <v>14474.88</v>
      </c>
      <c r="AD10" s="24">
        <f>AD9*(1+Controls!$B$25+Controls!$B$24)</f>
        <v>14474.88</v>
      </c>
      <c r="AE10" s="24">
        <f>AE9*(1+Controls!$B$25+Controls!$B$24)</f>
        <v>14474.88</v>
      </c>
      <c r="AF10" s="24">
        <f>AF9*(1+Controls!$B$25+Controls!$B$24)</f>
        <v>14474.88</v>
      </c>
      <c r="AG10" s="24">
        <f>AG9*(1+Controls!$B$25+Controls!$B$24)</f>
        <v>14474.88</v>
      </c>
      <c r="AH10" s="24">
        <f>AH9*(1+Controls!$B$25+Controls!$B$24)</f>
        <v>14474.88</v>
      </c>
      <c r="AI10" s="24">
        <f>AI9*(1+Controls!$B$25+Controls!$B$24)</f>
        <v>14474.88</v>
      </c>
      <c r="AJ10" s="24">
        <f>AJ9*(1+Controls!$B$25+Controls!$B$24)</f>
        <v>14474.88</v>
      </c>
      <c r="AK10" s="24">
        <f>AK9*(1+Controls!$B$25+Controls!$B$24)</f>
        <v>14474.88</v>
      </c>
      <c r="AL10" s="24">
        <f>AL9*(1+Controls!$B$25+Controls!$B$24)</f>
        <v>14474.88</v>
      </c>
      <c r="AM10" s="24">
        <f>AM9*(1+Controls!$B$25+Controls!$B$24)</f>
        <v>0</v>
      </c>
      <c r="AN10" s="24">
        <f>AN9*(1+Controls!$B$25+Controls!$B$24)</f>
        <v>0</v>
      </c>
      <c r="AO10" s="24">
        <f>AO9*(1+Controls!$B$25+Controls!$B$24)</f>
        <v>0</v>
      </c>
      <c r="AP10" s="24">
        <f>AP9*(1+Controls!$B$25+Controls!$B$24)</f>
        <v>0</v>
      </c>
      <c r="AQ10" s="24">
        <f>AQ9*(1+Controls!$B$25+Controls!$B$24)</f>
        <v>0</v>
      </c>
      <c r="AR10" s="24">
        <f>AR9*(1+Controls!$B$25+Controls!$B$24)</f>
        <v>0</v>
      </c>
      <c r="AS10" s="24">
        <f>AS9*(1+Controls!$B$25+Controls!$B$24)</f>
        <v>0</v>
      </c>
      <c r="AT10" s="24">
        <f>AT9*(1+Controls!$B$25+Controls!$B$24)</f>
        <v>0</v>
      </c>
      <c r="AU10" s="24">
        <f>AU9*(1+Controls!$B$25+Controls!$B$24)</f>
        <v>0</v>
      </c>
      <c r="AV10" s="24">
        <f>AV9*(1+Controls!$B$25+Controls!$B$24)</f>
        <v>0</v>
      </c>
      <c r="AW10" s="24">
        <f>AW9*(1+Controls!$B$25+Controls!$B$24)</f>
        <v>0</v>
      </c>
      <c r="AX10" s="24">
        <f>AX9*(1+Controls!$B$25+Controls!$B$24)</f>
        <v>0</v>
      </c>
      <c r="AY10" s="24">
        <f>AY9*(1+Controls!$B$25+Controls!$B$24)</f>
        <v>0</v>
      </c>
      <c r="AZ10" s="24">
        <f>AZ9*(1+Controls!$B$25+Controls!$B$24)</f>
        <v>0</v>
      </c>
      <c r="BA10" s="24">
        <f>BA9*(1+Controls!$B$25+Controls!$B$24)</f>
        <v>0</v>
      </c>
      <c r="BB10" s="24">
        <f>BB9*(1+Controls!$B$25+Controls!$B$24)</f>
        <v>0</v>
      </c>
      <c r="BC10" s="24">
        <f>BC9*(1+Controls!$B$25+Controls!$B$24)</f>
        <v>0</v>
      </c>
      <c r="BD10" s="24">
        <f>BD9*(1+Controls!$B$25+Controls!$B$24)</f>
        <v>0</v>
      </c>
      <c r="BE10" s="24">
        <f>BE9*(1+Controls!$B$25+Controls!$B$24)</f>
        <v>0</v>
      </c>
      <c r="BF10" s="24">
        <f>BF9*(1+Controls!$B$25+Controls!$B$24)</f>
        <v>0</v>
      </c>
      <c r="BG10" s="24">
        <f>BG9*(1+Controls!$B$25+Controls!$B$24)</f>
        <v>0</v>
      </c>
      <c r="BH10" s="24">
        <f>BH9*(1+Controls!$B$25+Controls!$B$24)</f>
        <v>0</v>
      </c>
      <c r="BI10" s="24">
        <f>BI9*(1+Controls!$B$25+Controls!$B$24)</f>
        <v>0</v>
      </c>
      <c r="BJ10" s="24">
        <f>BJ9*(1+Controls!$B$25+Controls!$B$24)</f>
        <v>0</v>
      </c>
      <c r="BK10" s="24">
        <f>SUMPRODUCT((YEAR(EDATE(Controls!$B$6,COLUMN($C$1:$BJ$1)-COLUMN($C$1)))=YEAR(Controls!$B$6)+0)*(COLUMN($C$1:$BJ$1)-COLUMN($C$1)&lt;Controls!$B$7)*$C$10:$BJ$10)</f>
        <v>120624</v>
      </c>
      <c r="BL10" s="24">
        <f>SUMPRODUCT((YEAR(EDATE(Controls!$B$6,COLUMN($C$1:$BJ$1)-COLUMN($C$1)))=YEAR(Controls!$B$6)+1)*(COLUMN($C$1:$BJ$1)-COLUMN($C$1)&lt;Controls!$B$7)*$C$10:$BJ$10)</f>
        <v>144748.79999999996</v>
      </c>
      <c r="BM10" s="24">
        <f>SUMPRODUCT((YEAR(EDATE(Controls!$B$6,COLUMN($C$1:$BJ$1)-COLUMN($C$1)))=YEAR(Controls!$B$6)+2)*(COLUMN($C$1:$BJ$1)-COLUMN($C$1)&lt;Controls!$B$7)*$C$10:$BJ$10)</f>
        <v>173698.56000000003</v>
      </c>
      <c r="BN10" s="24">
        <f>SUMPRODUCT((YEAR(EDATE(Controls!$B$6,COLUMN($C$1:$BJ$1)-COLUMN($C$1)))=YEAR(Controls!$B$6)+3)*(COLUMN($C$1:$BJ$1)-COLUMN($C$1)&lt;Controls!$B$7)*$C$10:$BJ$10)</f>
        <v>0</v>
      </c>
      <c r="BO10" s="24">
        <f>SUMPRODUCT((YEAR(EDATE(Controls!$B$6,COLUMN($C$1:$BJ$1)-COLUMN($C$1)))=YEAR(Controls!$B$6)+4)*(COLUMN($C$1:$BJ$1)-COLUMN($C$1)&lt;Controls!$B$7)*$C$10:$BJ$10)</f>
        <v>0</v>
      </c>
      <c r="BP10" s="24">
        <f>SUMPRODUCT((YEAR(EDATE(Controls!$B$6,COLUMN($C$1:$BJ$1)-COLUMN($C$1)))=YEAR(Controls!$B$6)+5)*(COLUMN($C$1:$BJ$1)-COLUMN($C$1)&lt;Controls!$B$7)*$C$10:$BJ$10)</f>
        <v>0</v>
      </c>
    </row>
    <row r="12" spans="1:68" ht="18" customHeight="1" x14ac:dyDescent="0.35">
      <c r="A12" s="54" t="s">
        <v>205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</row>
    <row r="13" spans="1:68" x14ac:dyDescent="0.35">
      <c r="A13" s="15" t="s">
        <v>206</v>
      </c>
      <c r="B13" s="20" t="s">
        <v>201</v>
      </c>
      <c r="C13" s="10">
        <v>0.3</v>
      </c>
      <c r="D13" s="22" t="s">
        <v>202</v>
      </c>
    </row>
    <row r="14" spans="1:68" x14ac:dyDescent="0.35">
      <c r="A14" s="15" t="s">
        <v>207</v>
      </c>
      <c r="B14" s="20" t="s">
        <v>105</v>
      </c>
      <c r="C14" s="13">
        <v>15000</v>
      </c>
      <c r="D14" s="13">
        <v>15000</v>
      </c>
      <c r="E14" s="13">
        <v>15000</v>
      </c>
      <c r="F14" s="13">
        <v>15000</v>
      </c>
      <c r="G14" s="13">
        <v>15000</v>
      </c>
      <c r="H14" s="13">
        <v>15000</v>
      </c>
      <c r="I14" s="13">
        <v>15000</v>
      </c>
      <c r="J14" s="13">
        <v>15000</v>
      </c>
      <c r="K14" s="13">
        <v>15000</v>
      </c>
      <c r="L14" s="13">
        <v>15000</v>
      </c>
      <c r="M14" s="13">
        <v>15000</v>
      </c>
      <c r="N14" s="13">
        <v>15000</v>
      </c>
      <c r="O14" s="24">
        <f>IF(COLUMN()-2&lt;=Controls!$B$7,C14*(1+$C$13),0)</f>
        <v>19500</v>
      </c>
      <c r="P14" s="24">
        <f>IF(COLUMN()-2&lt;=Controls!$B$7,D14*(1+$C$13),0)</f>
        <v>19500</v>
      </c>
      <c r="Q14" s="24">
        <f>IF(COLUMN()-2&lt;=Controls!$B$7,E14*(1+$C$13),0)</f>
        <v>19500</v>
      </c>
      <c r="R14" s="24">
        <f>IF(COLUMN()-2&lt;=Controls!$B$7,F14*(1+$C$13),0)</f>
        <v>19500</v>
      </c>
      <c r="S14" s="24">
        <f>IF(COLUMN()-2&lt;=Controls!$B$7,G14*(1+$C$13),0)</f>
        <v>19500</v>
      </c>
      <c r="T14" s="24">
        <f>IF(COLUMN()-2&lt;=Controls!$B$7,H14*(1+$C$13),0)</f>
        <v>19500</v>
      </c>
      <c r="U14" s="24">
        <f>IF(COLUMN()-2&lt;=Controls!$B$7,I14*(1+$C$13),0)</f>
        <v>19500</v>
      </c>
      <c r="V14" s="24">
        <f>IF(COLUMN()-2&lt;=Controls!$B$7,J14*(1+$C$13),0)</f>
        <v>19500</v>
      </c>
      <c r="W14" s="24">
        <f>IF(COLUMN()-2&lt;=Controls!$B$7,K14*(1+$C$13),0)</f>
        <v>19500</v>
      </c>
      <c r="X14" s="24">
        <f>IF(COLUMN()-2&lt;=Controls!$B$7,L14*(1+$C$13),0)</f>
        <v>19500</v>
      </c>
      <c r="Y14" s="24">
        <f>IF(COLUMN()-2&lt;=Controls!$B$7,M14*(1+$C$13),0)</f>
        <v>19500</v>
      </c>
      <c r="Z14" s="24">
        <f>IF(COLUMN()-2&lt;=Controls!$B$7,N14*(1+$C$13),0)</f>
        <v>19500</v>
      </c>
      <c r="AA14" s="24">
        <f>IF(COLUMN()-2&lt;=Controls!$B$7,O14*(1+$C$13),0)</f>
        <v>25350</v>
      </c>
      <c r="AB14" s="24">
        <f>IF(COLUMN()-2&lt;=Controls!$B$7,P14*(1+$C$13),0)</f>
        <v>25350</v>
      </c>
      <c r="AC14" s="24">
        <f>IF(COLUMN()-2&lt;=Controls!$B$7,Q14*(1+$C$13),0)</f>
        <v>25350</v>
      </c>
      <c r="AD14" s="24">
        <f>IF(COLUMN()-2&lt;=Controls!$B$7,R14*(1+$C$13),0)</f>
        <v>25350</v>
      </c>
      <c r="AE14" s="24">
        <f>IF(COLUMN()-2&lt;=Controls!$B$7,S14*(1+$C$13),0)</f>
        <v>25350</v>
      </c>
      <c r="AF14" s="24">
        <f>IF(COLUMN()-2&lt;=Controls!$B$7,T14*(1+$C$13),0)</f>
        <v>25350</v>
      </c>
      <c r="AG14" s="24">
        <f>IF(COLUMN()-2&lt;=Controls!$B$7,U14*(1+$C$13),0)</f>
        <v>25350</v>
      </c>
      <c r="AH14" s="24">
        <f>IF(COLUMN()-2&lt;=Controls!$B$7,V14*(1+$C$13),0)</f>
        <v>25350</v>
      </c>
      <c r="AI14" s="24">
        <f>IF(COLUMN()-2&lt;=Controls!$B$7,W14*(1+$C$13),0)</f>
        <v>25350</v>
      </c>
      <c r="AJ14" s="24">
        <f>IF(COLUMN()-2&lt;=Controls!$B$7,X14*(1+$C$13),0)</f>
        <v>25350</v>
      </c>
      <c r="AK14" s="24">
        <f>IF(COLUMN()-2&lt;=Controls!$B$7,Y14*(1+$C$13),0)</f>
        <v>25350</v>
      </c>
      <c r="AL14" s="24">
        <f>IF(COLUMN()-2&lt;=Controls!$B$7,Z14*(1+$C$13),0)</f>
        <v>25350</v>
      </c>
      <c r="AM14" s="24">
        <f>IF(COLUMN()-2&lt;=Controls!$B$7,AA14*(1+$C$13),0)</f>
        <v>0</v>
      </c>
      <c r="AN14" s="24">
        <f>IF(COLUMN()-2&lt;=Controls!$B$7,AB14*(1+$C$13),0)</f>
        <v>0</v>
      </c>
      <c r="AO14" s="24">
        <f>IF(COLUMN()-2&lt;=Controls!$B$7,AC14*(1+$C$13),0)</f>
        <v>0</v>
      </c>
      <c r="AP14" s="24">
        <f>IF(COLUMN()-2&lt;=Controls!$B$7,AD14*(1+$C$13),0)</f>
        <v>0</v>
      </c>
      <c r="AQ14" s="24">
        <f>IF(COLUMN()-2&lt;=Controls!$B$7,AE14*(1+$C$13),0)</f>
        <v>0</v>
      </c>
      <c r="AR14" s="24">
        <f>IF(COLUMN()-2&lt;=Controls!$B$7,AF14*(1+$C$13),0)</f>
        <v>0</v>
      </c>
      <c r="AS14" s="24">
        <f>IF(COLUMN()-2&lt;=Controls!$B$7,AG14*(1+$C$13),0)</f>
        <v>0</v>
      </c>
      <c r="AT14" s="24">
        <f>IF(COLUMN()-2&lt;=Controls!$B$7,AH14*(1+$C$13),0)</f>
        <v>0</v>
      </c>
      <c r="AU14" s="24">
        <f>IF(COLUMN()-2&lt;=Controls!$B$7,AI14*(1+$C$13),0)</f>
        <v>0</v>
      </c>
      <c r="AV14" s="24">
        <f>IF(COLUMN()-2&lt;=Controls!$B$7,AJ14*(1+$C$13),0)</f>
        <v>0</v>
      </c>
      <c r="AW14" s="24">
        <f>IF(COLUMN()-2&lt;=Controls!$B$7,AK14*(1+$C$13),0)</f>
        <v>0</v>
      </c>
      <c r="AX14" s="24">
        <f>IF(COLUMN()-2&lt;=Controls!$B$7,AL14*(1+$C$13),0)</f>
        <v>0</v>
      </c>
      <c r="AY14" s="24">
        <f>IF(COLUMN()-2&lt;=Controls!$B$7,AM14*(1+$C$13),0)</f>
        <v>0</v>
      </c>
      <c r="AZ14" s="24">
        <f>IF(COLUMN()-2&lt;=Controls!$B$7,AN14*(1+$C$13),0)</f>
        <v>0</v>
      </c>
      <c r="BA14" s="24">
        <f>IF(COLUMN()-2&lt;=Controls!$B$7,AO14*(1+$C$13),0)</f>
        <v>0</v>
      </c>
      <c r="BB14" s="24">
        <f>IF(COLUMN()-2&lt;=Controls!$B$7,AP14*(1+$C$13),0)</f>
        <v>0</v>
      </c>
      <c r="BC14" s="24">
        <f>IF(COLUMN()-2&lt;=Controls!$B$7,AQ14*(1+$C$13),0)</f>
        <v>0</v>
      </c>
      <c r="BD14" s="24">
        <f>IF(COLUMN()-2&lt;=Controls!$B$7,AR14*(1+$C$13),0)</f>
        <v>0</v>
      </c>
      <c r="BE14" s="24">
        <f>IF(COLUMN()-2&lt;=Controls!$B$7,AS14*(1+$C$13),0)</f>
        <v>0</v>
      </c>
      <c r="BF14" s="24">
        <f>IF(COLUMN()-2&lt;=Controls!$B$7,AT14*(1+$C$13),0)</f>
        <v>0</v>
      </c>
      <c r="BG14" s="24">
        <f>IF(COLUMN()-2&lt;=Controls!$B$7,AU14*(1+$C$13),0)</f>
        <v>0</v>
      </c>
      <c r="BH14" s="24">
        <f>IF(COLUMN()-2&lt;=Controls!$B$7,AV14*(1+$C$13),0)</f>
        <v>0</v>
      </c>
      <c r="BI14" s="24">
        <f>IF(COLUMN()-2&lt;=Controls!$B$7,AW14*(1+$C$13),0)</f>
        <v>0</v>
      </c>
      <c r="BJ14" s="24">
        <f>IF(COLUMN()-2&lt;=Controls!$B$7,AX14*(1+$C$13),0)</f>
        <v>0</v>
      </c>
      <c r="BK14" s="24">
        <f>SUMPRODUCT((YEAR(EDATE(Controls!$B$6,COLUMN($C$1:$BJ$1)-COLUMN($C$1)))=YEAR(Controls!$B$6)+0)*(COLUMN($C$1:$BJ$1)-COLUMN($C$1)&lt;Controls!$B$7)*$C$14:$BJ$14)</f>
        <v>180000</v>
      </c>
      <c r="BL14" s="24">
        <f>SUMPRODUCT((YEAR(EDATE(Controls!$B$6,COLUMN($C$1:$BJ$1)-COLUMN($C$1)))=YEAR(Controls!$B$6)+1)*(COLUMN($C$1:$BJ$1)-COLUMN($C$1)&lt;Controls!$B$7)*$C$14:$BJ$14)</f>
        <v>234000</v>
      </c>
      <c r="BM14" s="24">
        <f>SUMPRODUCT((YEAR(EDATE(Controls!$B$6,COLUMN($C$1:$BJ$1)-COLUMN($C$1)))=YEAR(Controls!$B$6)+2)*(COLUMN($C$1:$BJ$1)-COLUMN($C$1)&lt;Controls!$B$7)*$C$14:$BJ$14)</f>
        <v>304200</v>
      </c>
      <c r="BN14" s="24">
        <f>SUMPRODUCT((YEAR(EDATE(Controls!$B$6,COLUMN($C$1:$BJ$1)-COLUMN($C$1)))=YEAR(Controls!$B$6)+3)*(COLUMN($C$1:$BJ$1)-COLUMN($C$1)&lt;Controls!$B$7)*$C$14:$BJ$14)</f>
        <v>0</v>
      </c>
      <c r="BO14" s="24">
        <f>SUMPRODUCT((YEAR(EDATE(Controls!$B$6,COLUMN($C$1:$BJ$1)-COLUMN($C$1)))=YEAR(Controls!$B$6)+4)*(COLUMN($C$1:$BJ$1)-COLUMN($C$1)&lt;Controls!$B$7)*$C$14:$BJ$14)</f>
        <v>0</v>
      </c>
      <c r="BP14" s="24">
        <f>SUMPRODUCT((YEAR(EDATE(Controls!$B$6,COLUMN($C$1:$BJ$1)-COLUMN($C$1)))=YEAR(Controls!$B$6)+5)*(COLUMN($C$1:$BJ$1)-COLUMN($C$1)&lt;Controls!$B$7)*$C$14:$BJ$14)</f>
        <v>0</v>
      </c>
    </row>
    <row r="15" spans="1:68" x14ac:dyDescent="0.35">
      <c r="A15" s="6" t="s">
        <v>208</v>
      </c>
      <c r="B15" s="20" t="s">
        <v>105</v>
      </c>
      <c r="C15" s="24">
        <f>C14*(1+Controls!$B$25+Controls!$B$24)</f>
        <v>18847.5</v>
      </c>
      <c r="D15" s="24">
        <f>D14*(1+Controls!$B$25+Controls!$B$24)</f>
        <v>18847.5</v>
      </c>
      <c r="E15" s="24">
        <f>E14*(1+Controls!$B$25+Controls!$B$24)</f>
        <v>18847.5</v>
      </c>
      <c r="F15" s="24">
        <f>F14*(1+Controls!$B$25+Controls!$B$24)</f>
        <v>18847.5</v>
      </c>
      <c r="G15" s="24">
        <f>G14*(1+Controls!$B$25+Controls!$B$24)</f>
        <v>18847.5</v>
      </c>
      <c r="H15" s="24">
        <f>H14*(1+Controls!$B$25+Controls!$B$24)</f>
        <v>18847.5</v>
      </c>
      <c r="I15" s="24">
        <f>I14*(1+Controls!$B$25+Controls!$B$24)</f>
        <v>18847.5</v>
      </c>
      <c r="J15" s="24">
        <f>J14*(1+Controls!$B$25+Controls!$B$24)</f>
        <v>18847.5</v>
      </c>
      <c r="K15" s="24">
        <f>K14*(1+Controls!$B$25+Controls!$B$24)</f>
        <v>18847.5</v>
      </c>
      <c r="L15" s="24">
        <f>L14*(1+Controls!$B$25+Controls!$B$24)</f>
        <v>18847.5</v>
      </c>
      <c r="M15" s="24">
        <f>M14*(1+Controls!$B$25+Controls!$B$24)</f>
        <v>18847.5</v>
      </c>
      <c r="N15" s="24">
        <f>N14*(1+Controls!$B$25+Controls!$B$24)</f>
        <v>18847.5</v>
      </c>
      <c r="O15" s="24">
        <f>O14*(1+Controls!$B$25+Controls!$B$24)</f>
        <v>24501.75</v>
      </c>
      <c r="P15" s="24">
        <f>P14*(1+Controls!$B$25+Controls!$B$24)</f>
        <v>24501.75</v>
      </c>
      <c r="Q15" s="24">
        <f>Q14*(1+Controls!$B$25+Controls!$B$24)</f>
        <v>24501.75</v>
      </c>
      <c r="R15" s="24">
        <f>R14*(1+Controls!$B$25+Controls!$B$24)</f>
        <v>24501.75</v>
      </c>
      <c r="S15" s="24">
        <f>S14*(1+Controls!$B$25+Controls!$B$24)</f>
        <v>24501.75</v>
      </c>
      <c r="T15" s="24">
        <f>T14*(1+Controls!$B$25+Controls!$B$24)</f>
        <v>24501.75</v>
      </c>
      <c r="U15" s="24">
        <f>U14*(1+Controls!$B$25+Controls!$B$24)</f>
        <v>24501.75</v>
      </c>
      <c r="V15" s="24">
        <f>V14*(1+Controls!$B$25+Controls!$B$24)</f>
        <v>24501.75</v>
      </c>
      <c r="W15" s="24">
        <f>W14*(1+Controls!$B$25+Controls!$B$24)</f>
        <v>24501.75</v>
      </c>
      <c r="X15" s="24">
        <f>X14*(1+Controls!$B$25+Controls!$B$24)</f>
        <v>24501.75</v>
      </c>
      <c r="Y15" s="24">
        <f>Y14*(1+Controls!$B$25+Controls!$B$24)</f>
        <v>24501.75</v>
      </c>
      <c r="Z15" s="24">
        <f>Z14*(1+Controls!$B$25+Controls!$B$24)</f>
        <v>24501.75</v>
      </c>
      <c r="AA15" s="24">
        <f>AA14*(1+Controls!$B$25+Controls!$B$24)</f>
        <v>31852.274999999998</v>
      </c>
      <c r="AB15" s="24">
        <f>AB14*(1+Controls!$B$25+Controls!$B$24)</f>
        <v>31852.274999999998</v>
      </c>
      <c r="AC15" s="24">
        <f>AC14*(1+Controls!$B$25+Controls!$B$24)</f>
        <v>31852.274999999998</v>
      </c>
      <c r="AD15" s="24">
        <f>AD14*(1+Controls!$B$25+Controls!$B$24)</f>
        <v>31852.274999999998</v>
      </c>
      <c r="AE15" s="24">
        <f>AE14*(1+Controls!$B$25+Controls!$B$24)</f>
        <v>31852.274999999998</v>
      </c>
      <c r="AF15" s="24">
        <f>AF14*(1+Controls!$B$25+Controls!$B$24)</f>
        <v>31852.274999999998</v>
      </c>
      <c r="AG15" s="24">
        <f>AG14*(1+Controls!$B$25+Controls!$B$24)</f>
        <v>31852.274999999998</v>
      </c>
      <c r="AH15" s="24">
        <f>AH14*(1+Controls!$B$25+Controls!$B$24)</f>
        <v>31852.274999999998</v>
      </c>
      <c r="AI15" s="24">
        <f>AI14*(1+Controls!$B$25+Controls!$B$24)</f>
        <v>31852.274999999998</v>
      </c>
      <c r="AJ15" s="24">
        <f>AJ14*(1+Controls!$B$25+Controls!$B$24)</f>
        <v>31852.274999999998</v>
      </c>
      <c r="AK15" s="24">
        <f>AK14*(1+Controls!$B$25+Controls!$B$24)</f>
        <v>31852.274999999998</v>
      </c>
      <c r="AL15" s="24">
        <f>AL14*(1+Controls!$B$25+Controls!$B$24)</f>
        <v>31852.274999999998</v>
      </c>
      <c r="AM15" s="24">
        <f>AM14*(1+Controls!$B$25+Controls!$B$24)</f>
        <v>0</v>
      </c>
      <c r="AN15" s="24">
        <f>AN14*(1+Controls!$B$25+Controls!$B$24)</f>
        <v>0</v>
      </c>
      <c r="AO15" s="24">
        <f>AO14*(1+Controls!$B$25+Controls!$B$24)</f>
        <v>0</v>
      </c>
      <c r="AP15" s="24">
        <f>AP14*(1+Controls!$B$25+Controls!$B$24)</f>
        <v>0</v>
      </c>
      <c r="AQ15" s="24">
        <f>AQ14*(1+Controls!$B$25+Controls!$B$24)</f>
        <v>0</v>
      </c>
      <c r="AR15" s="24">
        <f>AR14*(1+Controls!$B$25+Controls!$B$24)</f>
        <v>0</v>
      </c>
      <c r="AS15" s="24">
        <f>AS14*(1+Controls!$B$25+Controls!$B$24)</f>
        <v>0</v>
      </c>
      <c r="AT15" s="24">
        <f>AT14*(1+Controls!$B$25+Controls!$B$24)</f>
        <v>0</v>
      </c>
      <c r="AU15" s="24">
        <f>AU14*(1+Controls!$B$25+Controls!$B$24)</f>
        <v>0</v>
      </c>
      <c r="AV15" s="24">
        <f>AV14*(1+Controls!$B$25+Controls!$B$24)</f>
        <v>0</v>
      </c>
      <c r="AW15" s="24">
        <f>AW14*(1+Controls!$B$25+Controls!$B$24)</f>
        <v>0</v>
      </c>
      <c r="AX15" s="24">
        <f>AX14*(1+Controls!$B$25+Controls!$B$24)</f>
        <v>0</v>
      </c>
      <c r="AY15" s="24">
        <f>AY14*(1+Controls!$B$25+Controls!$B$24)</f>
        <v>0</v>
      </c>
      <c r="AZ15" s="24">
        <f>AZ14*(1+Controls!$B$25+Controls!$B$24)</f>
        <v>0</v>
      </c>
      <c r="BA15" s="24">
        <f>BA14*(1+Controls!$B$25+Controls!$B$24)</f>
        <v>0</v>
      </c>
      <c r="BB15" s="24">
        <f>BB14*(1+Controls!$B$25+Controls!$B$24)</f>
        <v>0</v>
      </c>
      <c r="BC15" s="24">
        <f>BC14*(1+Controls!$B$25+Controls!$B$24)</f>
        <v>0</v>
      </c>
      <c r="BD15" s="24">
        <f>BD14*(1+Controls!$B$25+Controls!$B$24)</f>
        <v>0</v>
      </c>
      <c r="BE15" s="24">
        <f>BE14*(1+Controls!$B$25+Controls!$B$24)</f>
        <v>0</v>
      </c>
      <c r="BF15" s="24">
        <f>BF14*(1+Controls!$B$25+Controls!$B$24)</f>
        <v>0</v>
      </c>
      <c r="BG15" s="24">
        <f>BG14*(1+Controls!$B$25+Controls!$B$24)</f>
        <v>0</v>
      </c>
      <c r="BH15" s="24">
        <f>BH14*(1+Controls!$B$25+Controls!$B$24)</f>
        <v>0</v>
      </c>
      <c r="BI15" s="24">
        <f>BI14*(1+Controls!$B$25+Controls!$B$24)</f>
        <v>0</v>
      </c>
      <c r="BJ15" s="24">
        <f>BJ14*(1+Controls!$B$25+Controls!$B$24)</f>
        <v>0</v>
      </c>
      <c r="BK15" s="24">
        <f>SUMPRODUCT((YEAR(EDATE(Controls!$B$6,COLUMN($C$1:$BJ$1)-COLUMN($C$1)))=YEAR(Controls!$B$6)+0)*(COLUMN($C$1:$BJ$1)-COLUMN($C$1)&lt;Controls!$B$7)*$C$15:$BJ$15)</f>
        <v>226170</v>
      </c>
      <c r="BL15" s="24">
        <f>SUMPRODUCT((YEAR(EDATE(Controls!$B$6,COLUMN($C$1:$BJ$1)-COLUMN($C$1)))=YEAR(Controls!$B$6)+1)*(COLUMN($C$1:$BJ$1)-COLUMN($C$1)&lt;Controls!$B$7)*$C$15:$BJ$15)</f>
        <v>294021</v>
      </c>
      <c r="BM15" s="24">
        <f>SUMPRODUCT((YEAR(EDATE(Controls!$B$6,COLUMN($C$1:$BJ$1)-COLUMN($C$1)))=YEAR(Controls!$B$6)+2)*(COLUMN($C$1:$BJ$1)-COLUMN($C$1)&lt;Controls!$B$7)*$C$15:$BJ$15)</f>
        <v>382227.30000000005</v>
      </c>
      <c r="BN15" s="24">
        <f>SUMPRODUCT((YEAR(EDATE(Controls!$B$6,COLUMN($C$1:$BJ$1)-COLUMN($C$1)))=YEAR(Controls!$B$6)+3)*(COLUMN($C$1:$BJ$1)-COLUMN($C$1)&lt;Controls!$B$7)*$C$15:$BJ$15)</f>
        <v>0</v>
      </c>
      <c r="BO15" s="24">
        <f>SUMPRODUCT((YEAR(EDATE(Controls!$B$6,COLUMN($C$1:$BJ$1)-COLUMN($C$1)))=YEAR(Controls!$B$6)+4)*(COLUMN($C$1:$BJ$1)-COLUMN($C$1)&lt;Controls!$B$7)*$C$15:$BJ$15)</f>
        <v>0</v>
      </c>
      <c r="BP15" s="24">
        <f>SUMPRODUCT((YEAR(EDATE(Controls!$B$6,COLUMN($C$1:$BJ$1)-COLUMN($C$1)))=YEAR(Controls!$B$6)+5)*(COLUMN($C$1:$BJ$1)-COLUMN($C$1)&lt;Controls!$B$7)*$C$15:$BJ$15)</f>
        <v>0</v>
      </c>
    </row>
    <row r="17" spans="1:68" ht="18" customHeight="1" x14ac:dyDescent="0.35">
      <c r="A17" s="54" t="s">
        <v>209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</row>
    <row r="18" spans="1:68" x14ac:dyDescent="0.35">
      <c r="A18" s="15" t="s">
        <v>210</v>
      </c>
      <c r="B18" s="20" t="s">
        <v>201</v>
      </c>
      <c r="C18" s="10">
        <v>0.25</v>
      </c>
      <c r="D18" s="22" t="s">
        <v>202</v>
      </c>
    </row>
    <row r="19" spans="1:68" x14ac:dyDescent="0.35">
      <c r="A19" s="15" t="s">
        <v>211</v>
      </c>
      <c r="B19" s="20" t="s">
        <v>105</v>
      </c>
      <c r="C19" s="13">
        <v>20000</v>
      </c>
      <c r="D19" s="13">
        <v>20000</v>
      </c>
      <c r="E19" s="13">
        <v>20000</v>
      </c>
      <c r="F19" s="13">
        <v>20000</v>
      </c>
      <c r="G19" s="13">
        <v>20000</v>
      </c>
      <c r="H19" s="13">
        <v>20000</v>
      </c>
      <c r="I19" s="13">
        <v>20000</v>
      </c>
      <c r="J19" s="13">
        <v>20000</v>
      </c>
      <c r="K19" s="13">
        <v>20000</v>
      </c>
      <c r="L19" s="13">
        <v>20000</v>
      </c>
      <c r="M19" s="13">
        <v>20000</v>
      </c>
      <c r="N19" s="13">
        <v>20000</v>
      </c>
      <c r="O19" s="24">
        <f>IF(COLUMN()-2&lt;=Controls!$B$7,C19*(1+$C$18),0)</f>
        <v>25000</v>
      </c>
      <c r="P19" s="24">
        <f>IF(COLUMN()-2&lt;=Controls!$B$7,D19*(1+$C$18),0)</f>
        <v>25000</v>
      </c>
      <c r="Q19" s="24">
        <f>IF(COLUMN()-2&lt;=Controls!$B$7,E19*(1+$C$18),0)</f>
        <v>25000</v>
      </c>
      <c r="R19" s="24">
        <f>IF(COLUMN()-2&lt;=Controls!$B$7,F19*(1+$C$18),0)</f>
        <v>25000</v>
      </c>
      <c r="S19" s="24">
        <f>IF(COLUMN()-2&lt;=Controls!$B$7,G19*(1+$C$18),0)</f>
        <v>25000</v>
      </c>
      <c r="T19" s="24">
        <f>IF(COLUMN()-2&lt;=Controls!$B$7,H19*(1+$C$18),0)</f>
        <v>25000</v>
      </c>
      <c r="U19" s="24">
        <f>IF(COLUMN()-2&lt;=Controls!$B$7,I19*(1+$C$18),0)</f>
        <v>25000</v>
      </c>
      <c r="V19" s="24">
        <f>IF(COLUMN()-2&lt;=Controls!$B$7,J19*(1+$C$18),0)</f>
        <v>25000</v>
      </c>
      <c r="W19" s="24">
        <f>IF(COLUMN()-2&lt;=Controls!$B$7,K19*(1+$C$18),0)</f>
        <v>25000</v>
      </c>
      <c r="X19" s="24">
        <f>IF(COLUMN()-2&lt;=Controls!$B$7,L19*(1+$C$18),0)</f>
        <v>25000</v>
      </c>
      <c r="Y19" s="24">
        <f>IF(COLUMN()-2&lt;=Controls!$B$7,M19*(1+$C$18),0)</f>
        <v>25000</v>
      </c>
      <c r="Z19" s="24">
        <f>IF(COLUMN()-2&lt;=Controls!$B$7,N19*(1+$C$18),0)</f>
        <v>25000</v>
      </c>
      <c r="AA19" s="24">
        <f>IF(COLUMN()-2&lt;=Controls!$B$7,O19*(1+$C$18),0)</f>
        <v>31250</v>
      </c>
      <c r="AB19" s="24">
        <f>IF(COLUMN()-2&lt;=Controls!$B$7,P19*(1+$C$18),0)</f>
        <v>31250</v>
      </c>
      <c r="AC19" s="24">
        <f>IF(COLUMN()-2&lt;=Controls!$B$7,Q19*(1+$C$18),0)</f>
        <v>31250</v>
      </c>
      <c r="AD19" s="24">
        <f>IF(COLUMN()-2&lt;=Controls!$B$7,R19*(1+$C$18),0)</f>
        <v>31250</v>
      </c>
      <c r="AE19" s="24">
        <f>IF(COLUMN()-2&lt;=Controls!$B$7,S19*(1+$C$18),0)</f>
        <v>31250</v>
      </c>
      <c r="AF19" s="24">
        <f>IF(COLUMN()-2&lt;=Controls!$B$7,T19*(1+$C$18),0)</f>
        <v>31250</v>
      </c>
      <c r="AG19" s="24">
        <f>IF(COLUMN()-2&lt;=Controls!$B$7,U19*(1+$C$18),0)</f>
        <v>31250</v>
      </c>
      <c r="AH19" s="24">
        <f>IF(COLUMN()-2&lt;=Controls!$B$7,V19*(1+$C$18),0)</f>
        <v>31250</v>
      </c>
      <c r="AI19" s="24">
        <f>IF(COLUMN()-2&lt;=Controls!$B$7,W19*(1+$C$18),0)</f>
        <v>31250</v>
      </c>
      <c r="AJ19" s="24">
        <f>IF(COLUMN()-2&lt;=Controls!$B$7,X19*(1+$C$18),0)</f>
        <v>31250</v>
      </c>
      <c r="AK19" s="24">
        <f>IF(COLUMN()-2&lt;=Controls!$B$7,Y19*(1+$C$18),0)</f>
        <v>31250</v>
      </c>
      <c r="AL19" s="24">
        <f>IF(COLUMN()-2&lt;=Controls!$B$7,Z19*(1+$C$18),0)</f>
        <v>31250</v>
      </c>
      <c r="AM19" s="24">
        <f>IF(COLUMN()-2&lt;=Controls!$B$7,AA19*(1+$C$18),0)</f>
        <v>0</v>
      </c>
      <c r="AN19" s="24">
        <f>IF(COLUMN()-2&lt;=Controls!$B$7,AB19*(1+$C$18),0)</f>
        <v>0</v>
      </c>
      <c r="AO19" s="24">
        <f>IF(COLUMN()-2&lt;=Controls!$B$7,AC19*(1+$C$18),0)</f>
        <v>0</v>
      </c>
      <c r="AP19" s="24">
        <f>IF(COLUMN()-2&lt;=Controls!$B$7,AD19*(1+$C$18),0)</f>
        <v>0</v>
      </c>
      <c r="AQ19" s="24">
        <f>IF(COLUMN()-2&lt;=Controls!$B$7,AE19*(1+$C$18),0)</f>
        <v>0</v>
      </c>
      <c r="AR19" s="24">
        <f>IF(COLUMN()-2&lt;=Controls!$B$7,AF19*(1+$C$18),0)</f>
        <v>0</v>
      </c>
      <c r="AS19" s="24">
        <f>IF(COLUMN()-2&lt;=Controls!$B$7,AG19*(1+$C$18),0)</f>
        <v>0</v>
      </c>
      <c r="AT19" s="24">
        <f>IF(COLUMN()-2&lt;=Controls!$B$7,AH19*(1+$C$18),0)</f>
        <v>0</v>
      </c>
      <c r="AU19" s="24">
        <f>IF(COLUMN()-2&lt;=Controls!$B$7,AI19*(1+$C$18),0)</f>
        <v>0</v>
      </c>
      <c r="AV19" s="24">
        <f>IF(COLUMN()-2&lt;=Controls!$B$7,AJ19*(1+$C$18),0)</f>
        <v>0</v>
      </c>
      <c r="AW19" s="24">
        <f>IF(COLUMN()-2&lt;=Controls!$B$7,AK19*(1+$C$18),0)</f>
        <v>0</v>
      </c>
      <c r="AX19" s="24">
        <f>IF(COLUMN()-2&lt;=Controls!$B$7,AL19*(1+$C$18),0)</f>
        <v>0</v>
      </c>
      <c r="AY19" s="24">
        <f>IF(COLUMN()-2&lt;=Controls!$B$7,AM19*(1+$C$18),0)</f>
        <v>0</v>
      </c>
      <c r="AZ19" s="24">
        <f>IF(COLUMN()-2&lt;=Controls!$B$7,AN19*(1+$C$18),0)</f>
        <v>0</v>
      </c>
      <c r="BA19" s="24">
        <f>IF(COLUMN()-2&lt;=Controls!$B$7,AO19*(1+$C$18),0)</f>
        <v>0</v>
      </c>
      <c r="BB19" s="24">
        <f>IF(COLUMN()-2&lt;=Controls!$B$7,AP19*(1+$C$18),0)</f>
        <v>0</v>
      </c>
      <c r="BC19" s="24">
        <f>IF(COLUMN()-2&lt;=Controls!$B$7,AQ19*(1+$C$18),0)</f>
        <v>0</v>
      </c>
      <c r="BD19" s="24">
        <f>IF(COLUMN()-2&lt;=Controls!$B$7,AR19*(1+$C$18),0)</f>
        <v>0</v>
      </c>
      <c r="BE19" s="24">
        <f>IF(COLUMN()-2&lt;=Controls!$B$7,AS19*(1+$C$18),0)</f>
        <v>0</v>
      </c>
      <c r="BF19" s="24">
        <f>IF(COLUMN()-2&lt;=Controls!$B$7,AT19*(1+$C$18),0)</f>
        <v>0</v>
      </c>
      <c r="BG19" s="24">
        <f>IF(COLUMN()-2&lt;=Controls!$B$7,AU19*(1+$C$18),0)</f>
        <v>0</v>
      </c>
      <c r="BH19" s="24">
        <f>IF(COLUMN()-2&lt;=Controls!$B$7,AV19*(1+$C$18),0)</f>
        <v>0</v>
      </c>
      <c r="BI19" s="24">
        <f>IF(COLUMN()-2&lt;=Controls!$B$7,AW19*(1+$C$18),0)</f>
        <v>0</v>
      </c>
      <c r="BJ19" s="24">
        <f>IF(COLUMN()-2&lt;=Controls!$B$7,AX19*(1+$C$18),0)</f>
        <v>0</v>
      </c>
      <c r="BK19" s="24">
        <f>SUMPRODUCT((YEAR(EDATE(Controls!$B$6,COLUMN($C$1:$BJ$1)-COLUMN($C$1)))=YEAR(Controls!$B$6)+0)*(COLUMN($C$1:$BJ$1)-COLUMN($C$1)&lt;Controls!$B$7)*$C$19:$BJ$19)</f>
        <v>240000</v>
      </c>
      <c r="BL19" s="24">
        <f>SUMPRODUCT((YEAR(EDATE(Controls!$B$6,COLUMN($C$1:$BJ$1)-COLUMN($C$1)))=YEAR(Controls!$B$6)+1)*(COLUMN($C$1:$BJ$1)-COLUMN($C$1)&lt;Controls!$B$7)*$C$19:$BJ$19)</f>
        <v>300000</v>
      </c>
      <c r="BM19" s="24">
        <f>SUMPRODUCT((YEAR(EDATE(Controls!$B$6,COLUMN($C$1:$BJ$1)-COLUMN($C$1)))=YEAR(Controls!$B$6)+2)*(COLUMN($C$1:$BJ$1)-COLUMN($C$1)&lt;Controls!$B$7)*$C$19:$BJ$19)</f>
        <v>375000</v>
      </c>
      <c r="BN19" s="24">
        <f>SUMPRODUCT((YEAR(EDATE(Controls!$B$6,COLUMN($C$1:$BJ$1)-COLUMN($C$1)))=YEAR(Controls!$B$6)+3)*(COLUMN($C$1:$BJ$1)-COLUMN($C$1)&lt;Controls!$B$7)*$C$19:$BJ$19)</f>
        <v>0</v>
      </c>
      <c r="BO19" s="24">
        <f>SUMPRODUCT((YEAR(EDATE(Controls!$B$6,COLUMN($C$1:$BJ$1)-COLUMN($C$1)))=YEAR(Controls!$B$6)+4)*(COLUMN($C$1:$BJ$1)-COLUMN($C$1)&lt;Controls!$B$7)*$C$19:$BJ$19)</f>
        <v>0</v>
      </c>
      <c r="BP19" s="24">
        <f>SUMPRODUCT((YEAR(EDATE(Controls!$B$6,COLUMN($C$1:$BJ$1)-COLUMN($C$1)))=YEAR(Controls!$B$6)+5)*(COLUMN($C$1:$BJ$1)-COLUMN($C$1)&lt;Controls!$B$7)*$C$19:$BJ$19)</f>
        <v>0</v>
      </c>
    </row>
    <row r="20" spans="1:68" x14ac:dyDescent="0.35">
      <c r="A20" s="6" t="s">
        <v>212</v>
      </c>
      <c r="B20" s="20" t="s">
        <v>105</v>
      </c>
      <c r="C20" s="24">
        <f>C19*(1+Controls!$B$25+Controls!$B$24)</f>
        <v>25130</v>
      </c>
      <c r="D20" s="24">
        <f>D19*(1+Controls!$B$25+Controls!$B$24)</f>
        <v>25130</v>
      </c>
      <c r="E20" s="24">
        <f>E19*(1+Controls!$B$25+Controls!$B$24)</f>
        <v>25130</v>
      </c>
      <c r="F20" s="24">
        <f>F19*(1+Controls!$B$25+Controls!$B$24)</f>
        <v>25130</v>
      </c>
      <c r="G20" s="24">
        <f>G19*(1+Controls!$B$25+Controls!$B$24)</f>
        <v>25130</v>
      </c>
      <c r="H20" s="24">
        <f>H19*(1+Controls!$B$25+Controls!$B$24)</f>
        <v>25130</v>
      </c>
      <c r="I20" s="24">
        <f>I19*(1+Controls!$B$25+Controls!$B$24)</f>
        <v>25130</v>
      </c>
      <c r="J20" s="24">
        <f>J19*(1+Controls!$B$25+Controls!$B$24)</f>
        <v>25130</v>
      </c>
      <c r="K20" s="24">
        <f>K19*(1+Controls!$B$25+Controls!$B$24)</f>
        <v>25130</v>
      </c>
      <c r="L20" s="24">
        <f>L19*(1+Controls!$B$25+Controls!$B$24)</f>
        <v>25130</v>
      </c>
      <c r="M20" s="24">
        <f>M19*(1+Controls!$B$25+Controls!$B$24)</f>
        <v>25130</v>
      </c>
      <c r="N20" s="24">
        <f>N19*(1+Controls!$B$25+Controls!$B$24)</f>
        <v>25130</v>
      </c>
      <c r="O20" s="24">
        <f>O19*(1+Controls!$B$25+Controls!$B$24)</f>
        <v>31412.5</v>
      </c>
      <c r="P20" s="24">
        <f>P19*(1+Controls!$B$25+Controls!$B$24)</f>
        <v>31412.5</v>
      </c>
      <c r="Q20" s="24">
        <f>Q19*(1+Controls!$B$25+Controls!$B$24)</f>
        <v>31412.5</v>
      </c>
      <c r="R20" s="24">
        <f>R19*(1+Controls!$B$25+Controls!$B$24)</f>
        <v>31412.5</v>
      </c>
      <c r="S20" s="24">
        <f>S19*(1+Controls!$B$25+Controls!$B$24)</f>
        <v>31412.5</v>
      </c>
      <c r="T20" s="24">
        <f>T19*(1+Controls!$B$25+Controls!$B$24)</f>
        <v>31412.5</v>
      </c>
      <c r="U20" s="24">
        <f>U19*(1+Controls!$B$25+Controls!$B$24)</f>
        <v>31412.5</v>
      </c>
      <c r="V20" s="24">
        <f>V19*(1+Controls!$B$25+Controls!$B$24)</f>
        <v>31412.5</v>
      </c>
      <c r="W20" s="24">
        <f>W19*(1+Controls!$B$25+Controls!$B$24)</f>
        <v>31412.5</v>
      </c>
      <c r="X20" s="24">
        <f>X19*(1+Controls!$B$25+Controls!$B$24)</f>
        <v>31412.5</v>
      </c>
      <c r="Y20" s="24">
        <f>Y19*(1+Controls!$B$25+Controls!$B$24)</f>
        <v>31412.5</v>
      </c>
      <c r="Z20" s="24">
        <f>Z19*(1+Controls!$B$25+Controls!$B$24)</f>
        <v>31412.5</v>
      </c>
      <c r="AA20" s="24">
        <f>AA19*(1+Controls!$B$25+Controls!$B$24)</f>
        <v>39265.625</v>
      </c>
      <c r="AB20" s="24">
        <f>AB19*(1+Controls!$B$25+Controls!$B$24)</f>
        <v>39265.625</v>
      </c>
      <c r="AC20" s="24">
        <f>AC19*(1+Controls!$B$25+Controls!$B$24)</f>
        <v>39265.625</v>
      </c>
      <c r="AD20" s="24">
        <f>AD19*(1+Controls!$B$25+Controls!$B$24)</f>
        <v>39265.625</v>
      </c>
      <c r="AE20" s="24">
        <f>AE19*(1+Controls!$B$25+Controls!$B$24)</f>
        <v>39265.625</v>
      </c>
      <c r="AF20" s="24">
        <f>AF19*(1+Controls!$B$25+Controls!$B$24)</f>
        <v>39265.625</v>
      </c>
      <c r="AG20" s="24">
        <f>AG19*(1+Controls!$B$25+Controls!$B$24)</f>
        <v>39265.625</v>
      </c>
      <c r="AH20" s="24">
        <f>AH19*(1+Controls!$B$25+Controls!$B$24)</f>
        <v>39265.625</v>
      </c>
      <c r="AI20" s="24">
        <f>AI19*(1+Controls!$B$25+Controls!$B$24)</f>
        <v>39265.625</v>
      </c>
      <c r="AJ20" s="24">
        <f>AJ19*(1+Controls!$B$25+Controls!$B$24)</f>
        <v>39265.625</v>
      </c>
      <c r="AK20" s="24">
        <f>AK19*(1+Controls!$B$25+Controls!$B$24)</f>
        <v>39265.625</v>
      </c>
      <c r="AL20" s="24">
        <f>AL19*(1+Controls!$B$25+Controls!$B$24)</f>
        <v>39265.625</v>
      </c>
      <c r="AM20" s="24">
        <f>AM19*(1+Controls!$B$25+Controls!$B$24)</f>
        <v>0</v>
      </c>
      <c r="AN20" s="24">
        <f>AN19*(1+Controls!$B$25+Controls!$B$24)</f>
        <v>0</v>
      </c>
      <c r="AO20" s="24">
        <f>AO19*(1+Controls!$B$25+Controls!$B$24)</f>
        <v>0</v>
      </c>
      <c r="AP20" s="24">
        <f>AP19*(1+Controls!$B$25+Controls!$B$24)</f>
        <v>0</v>
      </c>
      <c r="AQ20" s="24">
        <f>AQ19*(1+Controls!$B$25+Controls!$B$24)</f>
        <v>0</v>
      </c>
      <c r="AR20" s="24">
        <f>AR19*(1+Controls!$B$25+Controls!$B$24)</f>
        <v>0</v>
      </c>
      <c r="AS20" s="24">
        <f>AS19*(1+Controls!$B$25+Controls!$B$24)</f>
        <v>0</v>
      </c>
      <c r="AT20" s="24">
        <f>AT19*(1+Controls!$B$25+Controls!$B$24)</f>
        <v>0</v>
      </c>
      <c r="AU20" s="24">
        <f>AU19*(1+Controls!$B$25+Controls!$B$24)</f>
        <v>0</v>
      </c>
      <c r="AV20" s="24">
        <f>AV19*(1+Controls!$B$25+Controls!$B$24)</f>
        <v>0</v>
      </c>
      <c r="AW20" s="24">
        <f>AW19*(1+Controls!$B$25+Controls!$B$24)</f>
        <v>0</v>
      </c>
      <c r="AX20" s="24">
        <f>AX19*(1+Controls!$B$25+Controls!$B$24)</f>
        <v>0</v>
      </c>
      <c r="AY20" s="24">
        <f>AY19*(1+Controls!$B$25+Controls!$B$24)</f>
        <v>0</v>
      </c>
      <c r="AZ20" s="24">
        <f>AZ19*(1+Controls!$B$25+Controls!$B$24)</f>
        <v>0</v>
      </c>
      <c r="BA20" s="24">
        <f>BA19*(1+Controls!$B$25+Controls!$B$24)</f>
        <v>0</v>
      </c>
      <c r="BB20" s="24">
        <f>BB19*(1+Controls!$B$25+Controls!$B$24)</f>
        <v>0</v>
      </c>
      <c r="BC20" s="24">
        <f>BC19*(1+Controls!$B$25+Controls!$B$24)</f>
        <v>0</v>
      </c>
      <c r="BD20" s="24">
        <f>BD19*(1+Controls!$B$25+Controls!$B$24)</f>
        <v>0</v>
      </c>
      <c r="BE20" s="24">
        <f>BE19*(1+Controls!$B$25+Controls!$B$24)</f>
        <v>0</v>
      </c>
      <c r="BF20" s="24">
        <f>BF19*(1+Controls!$B$25+Controls!$B$24)</f>
        <v>0</v>
      </c>
      <c r="BG20" s="24">
        <f>BG19*(1+Controls!$B$25+Controls!$B$24)</f>
        <v>0</v>
      </c>
      <c r="BH20" s="24">
        <f>BH19*(1+Controls!$B$25+Controls!$B$24)</f>
        <v>0</v>
      </c>
      <c r="BI20" s="24">
        <f>BI19*(1+Controls!$B$25+Controls!$B$24)</f>
        <v>0</v>
      </c>
      <c r="BJ20" s="24">
        <f>BJ19*(1+Controls!$B$25+Controls!$B$24)</f>
        <v>0</v>
      </c>
      <c r="BK20" s="24">
        <f>SUMPRODUCT((YEAR(EDATE(Controls!$B$6,COLUMN($C$1:$BJ$1)-COLUMN($C$1)))=YEAR(Controls!$B$6)+0)*(COLUMN($C$1:$BJ$1)-COLUMN($C$1)&lt;Controls!$B$7)*$C$20:$BJ$20)</f>
        <v>301560</v>
      </c>
      <c r="BL20" s="24">
        <f>SUMPRODUCT((YEAR(EDATE(Controls!$B$6,COLUMN($C$1:$BJ$1)-COLUMN($C$1)))=YEAR(Controls!$B$6)+1)*(COLUMN($C$1:$BJ$1)-COLUMN($C$1)&lt;Controls!$B$7)*$C$20:$BJ$20)</f>
        <v>376950</v>
      </c>
      <c r="BM20" s="24">
        <f>SUMPRODUCT((YEAR(EDATE(Controls!$B$6,COLUMN($C$1:$BJ$1)-COLUMN($C$1)))=YEAR(Controls!$B$6)+2)*(COLUMN($C$1:$BJ$1)-COLUMN($C$1)&lt;Controls!$B$7)*$C$20:$BJ$20)</f>
        <v>471187.5</v>
      </c>
      <c r="BN20" s="24">
        <f>SUMPRODUCT((YEAR(EDATE(Controls!$B$6,COLUMN($C$1:$BJ$1)-COLUMN($C$1)))=YEAR(Controls!$B$6)+3)*(COLUMN($C$1:$BJ$1)-COLUMN($C$1)&lt;Controls!$B$7)*$C$20:$BJ$20)</f>
        <v>0</v>
      </c>
      <c r="BO20" s="24">
        <f>SUMPRODUCT((YEAR(EDATE(Controls!$B$6,COLUMN($C$1:$BJ$1)-COLUMN($C$1)))=YEAR(Controls!$B$6)+4)*(COLUMN($C$1:$BJ$1)-COLUMN($C$1)&lt;Controls!$B$7)*$C$20:$BJ$20)</f>
        <v>0</v>
      </c>
      <c r="BP20" s="24">
        <f>SUMPRODUCT((YEAR(EDATE(Controls!$B$6,COLUMN($C$1:$BJ$1)-COLUMN($C$1)))=YEAR(Controls!$B$6)+5)*(COLUMN($C$1:$BJ$1)-COLUMN($C$1)&lt;Controls!$B$7)*$C$20:$BJ$20)</f>
        <v>0</v>
      </c>
    </row>
    <row r="22" spans="1:68" ht="18" customHeight="1" x14ac:dyDescent="0.35">
      <c r="A22" s="54" t="s">
        <v>213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</row>
    <row r="23" spans="1:68" x14ac:dyDescent="0.35">
      <c r="A23" s="15" t="s">
        <v>214</v>
      </c>
      <c r="B23" s="20" t="s">
        <v>201</v>
      </c>
      <c r="C23" s="10">
        <v>0.15</v>
      </c>
      <c r="D23" s="22" t="s">
        <v>202</v>
      </c>
    </row>
    <row r="24" spans="1:68" x14ac:dyDescent="0.35">
      <c r="A24" s="15" t="s">
        <v>215</v>
      </c>
      <c r="B24" s="20" t="s">
        <v>105</v>
      </c>
      <c r="C24" s="13">
        <v>10000</v>
      </c>
      <c r="D24" s="13">
        <v>10000</v>
      </c>
      <c r="E24" s="13">
        <v>10000</v>
      </c>
      <c r="F24" s="13">
        <v>10000</v>
      </c>
      <c r="G24" s="13">
        <v>10000</v>
      </c>
      <c r="H24" s="13">
        <v>10000</v>
      </c>
      <c r="I24" s="13">
        <v>10000</v>
      </c>
      <c r="J24" s="13">
        <v>10000</v>
      </c>
      <c r="K24" s="13">
        <v>10000</v>
      </c>
      <c r="L24" s="13">
        <v>10000</v>
      </c>
      <c r="M24" s="13">
        <v>10000</v>
      </c>
      <c r="N24" s="13">
        <v>10000</v>
      </c>
      <c r="O24" s="24">
        <f>IF(COLUMN()-2&lt;=Controls!$B$7,C24*(1+$C$23),0)</f>
        <v>11500</v>
      </c>
      <c r="P24" s="24">
        <f>IF(COLUMN()-2&lt;=Controls!$B$7,D24*(1+$C$23),0)</f>
        <v>11500</v>
      </c>
      <c r="Q24" s="24">
        <f>IF(COLUMN()-2&lt;=Controls!$B$7,E24*(1+$C$23),0)</f>
        <v>11500</v>
      </c>
      <c r="R24" s="24">
        <f>IF(COLUMN()-2&lt;=Controls!$B$7,F24*(1+$C$23),0)</f>
        <v>11500</v>
      </c>
      <c r="S24" s="24">
        <f>IF(COLUMN()-2&lt;=Controls!$B$7,G24*(1+$C$23),0)</f>
        <v>11500</v>
      </c>
      <c r="T24" s="24">
        <f>IF(COLUMN()-2&lt;=Controls!$B$7,H24*(1+$C$23),0)</f>
        <v>11500</v>
      </c>
      <c r="U24" s="24">
        <f>IF(COLUMN()-2&lt;=Controls!$B$7,I24*(1+$C$23),0)</f>
        <v>11500</v>
      </c>
      <c r="V24" s="24">
        <f>IF(COLUMN()-2&lt;=Controls!$B$7,J24*(1+$C$23),0)</f>
        <v>11500</v>
      </c>
      <c r="W24" s="24">
        <f>IF(COLUMN()-2&lt;=Controls!$B$7,K24*(1+$C$23),0)</f>
        <v>11500</v>
      </c>
      <c r="X24" s="24">
        <f>IF(COLUMN()-2&lt;=Controls!$B$7,L24*(1+$C$23),0)</f>
        <v>11500</v>
      </c>
      <c r="Y24" s="24">
        <f>IF(COLUMN()-2&lt;=Controls!$B$7,M24*(1+$C$23),0)</f>
        <v>11500</v>
      </c>
      <c r="Z24" s="24">
        <f>IF(COLUMN()-2&lt;=Controls!$B$7,N24*(1+$C$23),0)</f>
        <v>11500</v>
      </c>
      <c r="AA24" s="24">
        <f>IF(COLUMN()-2&lt;=Controls!$B$7,O24*(1+$C$23),0)</f>
        <v>13224.999999999998</v>
      </c>
      <c r="AB24" s="24">
        <f>IF(COLUMN()-2&lt;=Controls!$B$7,P24*(1+$C$23),0)</f>
        <v>13224.999999999998</v>
      </c>
      <c r="AC24" s="24">
        <f>IF(COLUMN()-2&lt;=Controls!$B$7,Q24*(1+$C$23),0)</f>
        <v>13224.999999999998</v>
      </c>
      <c r="AD24" s="24">
        <f>IF(COLUMN()-2&lt;=Controls!$B$7,R24*(1+$C$23),0)</f>
        <v>13224.999999999998</v>
      </c>
      <c r="AE24" s="24">
        <f>IF(COLUMN()-2&lt;=Controls!$B$7,S24*(1+$C$23),0)</f>
        <v>13224.999999999998</v>
      </c>
      <c r="AF24" s="24">
        <f>IF(COLUMN()-2&lt;=Controls!$B$7,T24*(1+$C$23),0)</f>
        <v>13224.999999999998</v>
      </c>
      <c r="AG24" s="24">
        <f>IF(COLUMN()-2&lt;=Controls!$B$7,U24*(1+$C$23),0)</f>
        <v>13224.999999999998</v>
      </c>
      <c r="AH24" s="24">
        <f>IF(COLUMN()-2&lt;=Controls!$B$7,V24*(1+$C$23),0)</f>
        <v>13224.999999999998</v>
      </c>
      <c r="AI24" s="24">
        <f>IF(COLUMN()-2&lt;=Controls!$B$7,W24*(1+$C$23),0)</f>
        <v>13224.999999999998</v>
      </c>
      <c r="AJ24" s="24">
        <f>IF(COLUMN()-2&lt;=Controls!$B$7,X24*(1+$C$23),0)</f>
        <v>13224.999999999998</v>
      </c>
      <c r="AK24" s="24">
        <f>IF(COLUMN()-2&lt;=Controls!$B$7,Y24*(1+$C$23),0)</f>
        <v>13224.999999999998</v>
      </c>
      <c r="AL24" s="24">
        <f>IF(COLUMN()-2&lt;=Controls!$B$7,Z24*(1+$C$23),0)</f>
        <v>13224.999999999998</v>
      </c>
      <c r="AM24" s="24">
        <f>IF(COLUMN()-2&lt;=Controls!$B$7,AA24*(1+$C$23),0)</f>
        <v>0</v>
      </c>
      <c r="AN24" s="24">
        <f>IF(COLUMN()-2&lt;=Controls!$B$7,AB24*(1+$C$23),0)</f>
        <v>0</v>
      </c>
      <c r="AO24" s="24">
        <f>IF(COLUMN()-2&lt;=Controls!$B$7,AC24*(1+$C$23),0)</f>
        <v>0</v>
      </c>
      <c r="AP24" s="24">
        <f>IF(COLUMN()-2&lt;=Controls!$B$7,AD24*(1+$C$23),0)</f>
        <v>0</v>
      </c>
      <c r="AQ24" s="24">
        <f>IF(COLUMN()-2&lt;=Controls!$B$7,AE24*(1+$C$23),0)</f>
        <v>0</v>
      </c>
      <c r="AR24" s="24">
        <f>IF(COLUMN()-2&lt;=Controls!$B$7,AF24*(1+$C$23),0)</f>
        <v>0</v>
      </c>
      <c r="AS24" s="24">
        <f>IF(COLUMN()-2&lt;=Controls!$B$7,AG24*(1+$C$23),0)</f>
        <v>0</v>
      </c>
      <c r="AT24" s="24">
        <f>IF(COLUMN()-2&lt;=Controls!$B$7,AH24*(1+$C$23),0)</f>
        <v>0</v>
      </c>
      <c r="AU24" s="24">
        <f>IF(COLUMN()-2&lt;=Controls!$B$7,AI24*(1+$C$23),0)</f>
        <v>0</v>
      </c>
      <c r="AV24" s="24">
        <f>IF(COLUMN()-2&lt;=Controls!$B$7,AJ24*(1+$C$23),0)</f>
        <v>0</v>
      </c>
      <c r="AW24" s="24">
        <f>IF(COLUMN()-2&lt;=Controls!$B$7,AK24*(1+$C$23),0)</f>
        <v>0</v>
      </c>
      <c r="AX24" s="24">
        <f>IF(COLUMN()-2&lt;=Controls!$B$7,AL24*(1+$C$23),0)</f>
        <v>0</v>
      </c>
      <c r="AY24" s="24">
        <f>IF(COLUMN()-2&lt;=Controls!$B$7,AM24*(1+$C$23),0)</f>
        <v>0</v>
      </c>
      <c r="AZ24" s="24">
        <f>IF(COLUMN()-2&lt;=Controls!$B$7,AN24*(1+$C$23),0)</f>
        <v>0</v>
      </c>
      <c r="BA24" s="24">
        <f>IF(COLUMN()-2&lt;=Controls!$B$7,AO24*(1+$C$23),0)</f>
        <v>0</v>
      </c>
      <c r="BB24" s="24">
        <f>IF(COLUMN()-2&lt;=Controls!$B$7,AP24*(1+$C$23),0)</f>
        <v>0</v>
      </c>
      <c r="BC24" s="24">
        <f>IF(COLUMN()-2&lt;=Controls!$B$7,AQ24*(1+$C$23),0)</f>
        <v>0</v>
      </c>
      <c r="BD24" s="24">
        <f>IF(COLUMN()-2&lt;=Controls!$B$7,AR24*(1+$C$23),0)</f>
        <v>0</v>
      </c>
      <c r="BE24" s="24">
        <f>IF(COLUMN()-2&lt;=Controls!$B$7,AS24*(1+$C$23),0)</f>
        <v>0</v>
      </c>
      <c r="BF24" s="24">
        <f>IF(COLUMN()-2&lt;=Controls!$B$7,AT24*(1+$C$23),0)</f>
        <v>0</v>
      </c>
      <c r="BG24" s="24">
        <f>IF(COLUMN()-2&lt;=Controls!$B$7,AU24*(1+$C$23),0)</f>
        <v>0</v>
      </c>
      <c r="BH24" s="24">
        <f>IF(COLUMN()-2&lt;=Controls!$B$7,AV24*(1+$C$23),0)</f>
        <v>0</v>
      </c>
      <c r="BI24" s="24">
        <f>IF(COLUMN()-2&lt;=Controls!$B$7,AW24*(1+$C$23),0)</f>
        <v>0</v>
      </c>
      <c r="BJ24" s="24">
        <f>IF(COLUMN()-2&lt;=Controls!$B$7,AX24*(1+$C$23),0)</f>
        <v>0</v>
      </c>
      <c r="BK24" s="24">
        <f>SUMPRODUCT((YEAR(EDATE(Controls!$B$6,COLUMN($C$1:$BJ$1)-COLUMN($C$1)))=YEAR(Controls!$B$6)+0)*(COLUMN($C$1:$BJ$1)-COLUMN($C$1)&lt;Controls!$B$7)*$C$24:$BJ$24)</f>
        <v>120000</v>
      </c>
      <c r="BL24" s="24">
        <f>SUMPRODUCT((YEAR(EDATE(Controls!$B$6,COLUMN($C$1:$BJ$1)-COLUMN($C$1)))=YEAR(Controls!$B$6)+1)*(COLUMN($C$1:$BJ$1)-COLUMN($C$1)&lt;Controls!$B$7)*$C$24:$BJ$24)</f>
        <v>138000</v>
      </c>
      <c r="BM24" s="24">
        <f>SUMPRODUCT((YEAR(EDATE(Controls!$B$6,COLUMN($C$1:$BJ$1)-COLUMN($C$1)))=YEAR(Controls!$B$6)+2)*(COLUMN($C$1:$BJ$1)-COLUMN($C$1)&lt;Controls!$B$7)*$C$24:$BJ$24)</f>
        <v>158699.99999999997</v>
      </c>
      <c r="BN24" s="24">
        <f>SUMPRODUCT((YEAR(EDATE(Controls!$B$6,COLUMN($C$1:$BJ$1)-COLUMN($C$1)))=YEAR(Controls!$B$6)+3)*(COLUMN($C$1:$BJ$1)-COLUMN($C$1)&lt;Controls!$B$7)*$C$24:$BJ$24)</f>
        <v>0</v>
      </c>
      <c r="BO24" s="24">
        <f>SUMPRODUCT((YEAR(EDATE(Controls!$B$6,COLUMN($C$1:$BJ$1)-COLUMN($C$1)))=YEAR(Controls!$B$6)+4)*(COLUMN($C$1:$BJ$1)-COLUMN($C$1)&lt;Controls!$B$7)*$C$24:$BJ$24)</f>
        <v>0</v>
      </c>
      <c r="BP24" s="24">
        <f>SUMPRODUCT((YEAR(EDATE(Controls!$B$6,COLUMN($C$1:$BJ$1)-COLUMN($C$1)))=YEAR(Controls!$B$6)+5)*(COLUMN($C$1:$BJ$1)-COLUMN($C$1)&lt;Controls!$B$7)*$C$24:$BJ$24)</f>
        <v>0</v>
      </c>
    </row>
    <row r="25" spans="1:68" x14ac:dyDescent="0.35">
      <c r="A25" s="6" t="s">
        <v>216</v>
      </c>
      <c r="B25" s="20" t="s">
        <v>105</v>
      </c>
      <c r="C25" s="24">
        <f>C24*(1+Controls!$B$25+Controls!$B$24)</f>
        <v>12565</v>
      </c>
      <c r="D25" s="24">
        <f>D24*(1+Controls!$B$25+Controls!$B$24)</f>
        <v>12565</v>
      </c>
      <c r="E25" s="24">
        <f>E24*(1+Controls!$B$25+Controls!$B$24)</f>
        <v>12565</v>
      </c>
      <c r="F25" s="24">
        <f>F24*(1+Controls!$B$25+Controls!$B$24)</f>
        <v>12565</v>
      </c>
      <c r="G25" s="24">
        <f>G24*(1+Controls!$B$25+Controls!$B$24)</f>
        <v>12565</v>
      </c>
      <c r="H25" s="24">
        <f>H24*(1+Controls!$B$25+Controls!$B$24)</f>
        <v>12565</v>
      </c>
      <c r="I25" s="24">
        <f>I24*(1+Controls!$B$25+Controls!$B$24)</f>
        <v>12565</v>
      </c>
      <c r="J25" s="24">
        <f>J24*(1+Controls!$B$25+Controls!$B$24)</f>
        <v>12565</v>
      </c>
      <c r="K25" s="24">
        <f>K24*(1+Controls!$B$25+Controls!$B$24)</f>
        <v>12565</v>
      </c>
      <c r="L25" s="24">
        <f>L24*(1+Controls!$B$25+Controls!$B$24)</f>
        <v>12565</v>
      </c>
      <c r="M25" s="24">
        <f>M24*(1+Controls!$B$25+Controls!$B$24)</f>
        <v>12565</v>
      </c>
      <c r="N25" s="24">
        <f>N24*(1+Controls!$B$25+Controls!$B$24)</f>
        <v>12565</v>
      </c>
      <c r="O25" s="24">
        <f>O24*(1+Controls!$B$25+Controls!$B$24)</f>
        <v>14449.75</v>
      </c>
      <c r="P25" s="24">
        <f>P24*(1+Controls!$B$25+Controls!$B$24)</f>
        <v>14449.75</v>
      </c>
      <c r="Q25" s="24">
        <f>Q24*(1+Controls!$B$25+Controls!$B$24)</f>
        <v>14449.75</v>
      </c>
      <c r="R25" s="24">
        <f>R24*(1+Controls!$B$25+Controls!$B$24)</f>
        <v>14449.75</v>
      </c>
      <c r="S25" s="24">
        <f>S24*(1+Controls!$B$25+Controls!$B$24)</f>
        <v>14449.75</v>
      </c>
      <c r="T25" s="24">
        <f>T24*(1+Controls!$B$25+Controls!$B$24)</f>
        <v>14449.75</v>
      </c>
      <c r="U25" s="24">
        <f>U24*(1+Controls!$B$25+Controls!$B$24)</f>
        <v>14449.75</v>
      </c>
      <c r="V25" s="24">
        <f>V24*(1+Controls!$B$25+Controls!$B$24)</f>
        <v>14449.75</v>
      </c>
      <c r="W25" s="24">
        <f>W24*(1+Controls!$B$25+Controls!$B$24)</f>
        <v>14449.75</v>
      </c>
      <c r="X25" s="24">
        <f>X24*(1+Controls!$B$25+Controls!$B$24)</f>
        <v>14449.75</v>
      </c>
      <c r="Y25" s="24">
        <f>Y24*(1+Controls!$B$25+Controls!$B$24)</f>
        <v>14449.75</v>
      </c>
      <c r="Z25" s="24">
        <f>Z24*(1+Controls!$B$25+Controls!$B$24)</f>
        <v>14449.75</v>
      </c>
      <c r="AA25" s="24">
        <f>AA24*(1+Controls!$B$25+Controls!$B$24)</f>
        <v>16617.212499999998</v>
      </c>
      <c r="AB25" s="24">
        <f>AB24*(1+Controls!$B$25+Controls!$B$24)</f>
        <v>16617.212499999998</v>
      </c>
      <c r="AC25" s="24">
        <f>AC24*(1+Controls!$B$25+Controls!$B$24)</f>
        <v>16617.212499999998</v>
      </c>
      <c r="AD25" s="24">
        <f>AD24*(1+Controls!$B$25+Controls!$B$24)</f>
        <v>16617.212499999998</v>
      </c>
      <c r="AE25" s="24">
        <f>AE24*(1+Controls!$B$25+Controls!$B$24)</f>
        <v>16617.212499999998</v>
      </c>
      <c r="AF25" s="24">
        <f>AF24*(1+Controls!$B$25+Controls!$B$24)</f>
        <v>16617.212499999998</v>
      </c>
      <c r="AG25" s="24">
        <f>AG24*(1+Controls!$B$25+Controls!$B$24)</f>
        <v>16617.212499999998</v>
      </c>
      <c r="AH25" s="24">
        <f>AH24*(1+Controls!$B$25+Controls!$B$24)</f>
        <v>16617.212499999998</v>
      </c>
      <c r="AI25" s="24">
        <f>AI24*(1+Controls!$B$25+Controls!$B$24)</f>
        <v>16617.212499999998</v>
      </c>
      <c r="AJ25" s="24">
        <f>AJ24*(1+Controls!$B$25+Controls!$B$24)</f>
        <v>16617.212499999998</v>
      </c>
      <c r="AK25" s="24">
        <f>AK24*(1+Controls!$B$25+Controls!$B$24)</f>
        <v>16617.212499999998</v>
      </c>
      <c r="AL25" s="24">
        <f>AL24*(1+Controls!$B$25+Controls!$B$24)</f>
        <v>16617.212499999998</v>
      </c>
      <c r="AM25" s="24">
        <f>AM24*(1+Controls!$B$25+Controls!$B$24)</f>
        <v>0</v>
      </c>
      <c r="AN25" s="24">
        <f>AN24*(1+Controls!$B$25+Controls!$B$24)</f>
        <v>0</v>
      </c>
      <c r="AO25" s="24">
        <f>AO24*(1+Controls!$B$25+Controls!$B$24)</f>
        <v>0</v>
      </c>
      <c r="AP25" s="24">
        <f>AP24*(1+Controls!$B$25+Controls!$B$24)</f>
        <v>0</v>
      </c>
      <c r="AQ25" s="24">
        <f>AQ24*(1+Controls!$B$25+Controls!$B$24)</f>
        <v>0</v>
      </c>
      <c r="AR25" s="24">
        <f>AR24*(1+Controls!$B$25+Controls!$B$24)</f>
        <v>0</v>
      </c>
      <c r="AS25" s="24">
        <f>AS24*(1+Controls!$B$25+Controls!$B$24)</f>
        <v>0</v>
      </c>
      <c r="AT25" s="24">
        <f>AT24*(1+Controls!$B$25+Controls!$B$24)</f>
        <v>0</v>
      </c>
      <c r="AU25" s="24">
        <f>AU24*(1+Controls!$B$25+Controls!$B$24)</f>
        <v>0</v>
      </c>
      <c r="AV25" s="24">
        <f>AV24*(1+Controls!$B$25+Controls!$B$24)</f>
        <v>0</v>
      </c>
      <c r="AW25" s="24">
        <f>AW24*(1+Controls!$B$25+Controls!$B$24)</f>
        <v>0</v>
      </c>
      <c r="AX25" s="24">
        <f>AX24*(1+Controls!$B$25+Controls!$B$24)</f>
        <v>0</v>
      </c>
      <c r="AY25" s="24">
        <f>AY24*(1+Controls!$B$25+Controls!$B$24)</f>
        <v>0</v>
      </c>
      <c r="AZ25" s="24">
        <f>AZ24*(1+Controls!$B$25+Controls!$B$24)</f>
        <v>0</v>
      </c>
      <c r="BA25" s="24">
        <f>BA24*(1+Controls!$B$25+Controls!$B$24)</f>
        <v>0</v>
      </c>
      <c r="BB25" s="24">
        <f>BB24*(1+Controls!$B$25+Controls!$B$24)</f>
        <v>0</v>
      </c>
      <c r="BC25" s="24">
        <f>BC24*(1+Controls!$B$25+Controls!$B$24)</f>
        <v>0</v>
      </c>
      <c r="BD25" s="24">
        <f>BD24*(1+Controls!$B$25+Controls!$B$24)</f>
        <v>0</v>
      </c>
      <c r="BE25" s="24">
        <f>BE24*(1+Controls!$B$25+Controls!$B$24)</f>
        <v>0</v>
      </c>
      <c r="BF25" s="24">
        <f>BF24*(1+Controls!$B$25+Controls!$B$24)</f>
        <v>0</v>
      </c>
      <c r="BG25" s="24">
        <f>BG24*(1+Controls!$B$25+Controls!$B$24)</f>
        <v>0</v>
      </c>
      <c r="BH25" s="24">
        <f>BH24*(1+Controls!$B$25+Controls!$B$24)</f>
        <v>0</v>
      </c>
      <c r="BI25" s="24">
        <f>BI24*(1+Controls!$B$25+Controls!$B$24)</f>
        <v>0</v>
      </c>
      <c r="BJ25" s="24">
        <f>BJ24*(1+Controls!$B$25+Controls!$B$24)</f>
        <v>0</v>
      </c>
      <c r="BK25" s="24">
        <f>SUMPRODUCT((YEAR(EDATE(Controls!$B$6,COLUMN($C$1:$BJ$1)-COLUMN($C$1)))=YEAR(Controls!$B$6)+0)*(COLUMN($C$1:$BJ$1)-COLUMN($C$1)&lt;Controls!$B$7)*$C$25:$BJ$25)</f>
        <v>150780</v>
      </c>
      <c r="BL25" s="24">
        <f>SUMPRODUCT((YEAR(EDATE(Controls!$B$6,COLUMN($C$1:$BJ$1)-COLUMN($C$1)))=YEAR(Controls!$B$6)+1)*(COLUMN($C$1:$BJ$1)-COLUMN($C$1)&lt;Controls!$B$7)*$C$25:$BJ$25)</f>
        <v>173397</v>
      </c>
      <c r="BM25" s="24">
        <f>SUMPRODUCT((YEAR(EDATE(Controls!$B$6,COLUMN($C$1:$BJ$1)-COLUMN($C$1)))=YEAR(Controls!$B$6)+2)*(COLUMN($C$1:$BJ$1)-COLUMN($C$1)&lt;Controls!$B$7)*$C$25:$BJ$25)</f>
        <v>199406.54999999996</v>
      </c>
      <c r="BN25" s="24">
        <f>SUMPRODUCT((YEAR(EDATE(Controls!$B$6,COLUMN($C$1:$BJ$1)-COLUMN($C$1)))=YEAR(Controls!$B$6)+3)*(COLUMN($C$1:$BJ$1)-COLUMN($C$1)&lt;Controls!$B$7)*$C$25:$BJ$25)</f>
        <v>0</v>
      </c>
      <c r="BO25" s="24">
        <f>SUMPRODUCT((YEAR(EDATE(Controls!$B$6,COLUMN($C$1:$BJ$1)-COLUMN($C$1)))=YEAR(Controls!$B$6)+4)*(COLUMN($C$1:$BJ$1)-COLUMN($C$1)&lt;Controls!$B$7)*$C$25:$BJ$25)</f>
        <v>0</v>
      </c>
      <c r="BP25" s="24">
        <f>SUMPRODUCT((YEAR(EDATE(Controls!$B$6,COLUMN($C$1:$BJ$1)-COLUMN($C$1)))=YEAR(Controls!$B$6)+5)*(COLUMN($C$1:$BJ$1)-COLUMN($C$1)&lt;Controls!$B$7)*$C$25:$BJ$25)</f>
        <v>0</v>
      </c>
    </row>
    <row r="27" spans="1:68" x14ac:dyDescent="0.35">
      <c r="A27" s="6" t="s">
        <v>217</v>
      </c>
      <c r="B27" s="20" t="s">
        <v>105</v>
      </c>
      <c r="C27" s="24">
        <f t="shared" ref="C27:AH27" si="0">C10+C15+C20+C25</f>
        <v>66594.5</v>
      </c>
      <c r="D27" s="24">
        <f t="shared" si="0"/>
        <v>66594.5</v>
      </c>
      <c r="E27" s="24">
        <f t="shared" si="0"/>
        <v>66594.5</v>
      </c>
      <c r="F27" s="24">
        <f t="shared" si="0"/>
        <v>66594.5</v>
      </c>
      <c r="G27" s="24">
        <f t="shared" si="0"/>
        <v>66594.5</v>
      </c>
      <c r="H27" s="24">
        <f t="shared" si="0"/>
        <v>66594.5</v>
      </c>
      <c r="I27" s="24">
        <f t="shared" si="0"/>
        <v>66594.5</v>
      </c>
      <c r="J27" s="24">
        <f t="shared" si="0"/>
        <v>66594.5</v>
      </c>
      <c r="K27" s="24">
        <f t="shared" si="0"/>
        <v>66594.5</v>
      </c>
      <c r="L27" s="24">
        <f t="shared" si="0"/>
        <v>66594.5</v>
      </c>
      <c r="M27" s="24">
        <f t="shared" si="0"/>
        <v>66594.5</v>
      </c>
      <c r="N27" s="24">
        <f t="shared" si="0"/>
        <v>66594.5</v>
      </c>
      <c r="O27" s="24">
        <f t="shared" si="0"/>
        <v>82426.399999999994</v>
      </c>
      <c r="P27" s="24">
        <f t="shared" si="0"/>
        <v>82426.399999999994</v>
      </c>
      <c r="Q27" s="24">
        <f t="shared" si="0"/>
        <v>82426.399999999994</v>
      </c>
      <c r="R27" s="24">
        <f t="shared" si="0"/>
        <v>82426.399999999994</v>
      </c>
      <c r="S27" s="24">
        <f t="shared" si="0"/>
        <v>82426.399999999994</v>
      </c>
      <c r="T27" s="24">
        <f t="shared" si="0"/>
        <v>82426.399999999994</v>
      </c>
      <c r="U27" s="24">
        <f t="shared" si="0"/>
        <v>82426.399999999994</v>
      </c>
      <c r="V27" s="24">
        <f t="shared" si="0"/>
        <v>82426.399999999994</v>
      </c>
      <c r="W27" s="24">
        <f t="shared" si="0"/>
        <v>82426.399999999994</v>
      </c>
      <c r="X27" s="24">
        <f t="shared" si="0"/>
        <v>82426.399999999994</v>
      </c>
      <c r="Y27" s="24">
        <f t="shared" si="0"/>
        <v>82426.399999999994</v>
      </c>
      <c r="Z27" s="24">
        <f t="shared" si="0"/>
        <v>82426.399999999994</v>
      </c>
      <c r="AA27" s="24">
        <f t="shared" si="0"/>
        <v>102209.99249999999</v>
      </c>
      <c r="AB27" s="24">
        <f t="shared" si="0"/>
        <v>102209.99249999999</v>
      </c>
      <c r="AC27" s="24">
        <f t="shared" si="0"/>
        <v>102209.99249999999</v>
      </c>
      <c r="AD27" s="24">
        <f t="shared" si="0"/>
        <v>102209.99249999999</v>
      </c>
      <c r="AE27" s="24">
        <f t="shared" si="0"/>
        <v>102209.99249999999</v>
      </c>
      <c r="AF27" s="24">
        <f t="shared" si="0"/>
        <v>102209.99249999999</v>
      </c>
      <c r="AG27" s="24">
        <f t="shared" si="0"/>
        <v>102209.99249999999</v>
      </c>
      <c r="AH27" s="24">
        <f t="shared" si="0"/>
        <v>102209.99249999999</v>
      </c>
      <c r="AI27" s="24">
        <f t="shared" ref="AI27:BJ27" si="1">AI10+AI15+AI20+AI25</f>
        <v>102209.99249999999</v>
      </c>
      <c r="AJ27" s="24">
        <f t="shared" si="1"/>
        <v>102209.99249999999</v>
      </c>
      <c r="AK27" s="24">
        <f t="shared" si="1"/>
        <v>102209.99249999999</v>
      </c>
      <c r="AL27" s="24">
        <f t="shared" si="1"/>
        <v>102209.99249999999</v>
      </c>
      <c r="AM27" s="24">
        <f t="shared" si="1"/>
        <v>0</v>
      </c>
      <c r="AN27" s="24">
        <f t="shared" si="1"/>
        <v>0</v>
      </c>
      <c r="AO27" s="24">
        <f t="shared" si="1"/>
        <v>0</v>
      </c>
      <c r="AP27" s="24">
        <f t="shared" si="1"/>
        <v>0</v>
      </c>
      <c r="AQ27" s="24">
        <f t="shared" si="1"/>
        <v>0</v>
      </c>
      <c r="AR27" s="24">
        <f t="shared" si="1"/>
        <v>0</v>
      </c>
      <c r="AS27" s="24">
        <f t="shared" si="1"/>
        <v>0</v>
      </c>
      <c r="AT27" s="24">
        <f t="shared" si="1"/>
        <v>0</v>
      </c>
      <c r="AU27" s="24">
        <f t="shared" si="1"/>
        <v>0</v>
      </c>
      <c r="AV27" s="24">
        <f t="shared" si="1"/>
        <v>0</v>
      </c>
      <c r="AW27" s="24">
        <f t="shared" si="1"/>
        <v>0</v>
      </c>
      <c r="AX27" s="24">
        <f t="shared" si="1"/>
        <v>0</v>
      </c>
      <c r="AY27" s="24">
        <f t="shared" si="1"/>
        <v>0</v>
      </c>
      <c r="AZ27" s="24">
        <f t="shared" si="1"/>
        <v>0</v>
      </c>
      <c r="BA27" s="24">
        <f t="shared" si="1"/>
        <v>0</v>
      </c>
      <c r="BB27" s="24">
        <f t="shared" si="1"/>
        <v>0</v>
      </c>
      <c r="BC27" s="24">
        <f t="shared" si="1"/>
        <v>0</v>
      </c>
      <c r="BD27" s="24">
        <f t="shared" si="1"/>
        <v>0</v>
      </c>
      <c r="BE27" s="24">
        <f t="shared" si="1"/>
        <v>0</v>
      </c>
      <c r="BF27" s="24">
        <f t="shared" si="1"/>
        <v>0</v>
      </c>
      <c r="BG27" s="24">
        <f t="shared" si="1"/>
        <v>0</v>
      </c>
      <c r="BH27" s="24">
        <f t="shared" si="1"/>
        <v>0</v>
      </c>
      <c r="BI27" s="24">
        <f t="shared" si="1"/>
        <v>0</v>
      </c>
      <c r="BJ27" s="24">
        <f t="shared" si="1"/>
        <v>0</v>
      </c>
      <c r="BK27" s="24">
        <f>SUMPRODUCT((YEAR(EDATE(Controls!$B$6,COLUMN($C$1:$BJ$1)-COLUMN($C$1)))=YEAR(Controls!$B$6)+0)*(COLUMN($C$1:$BJ$1)-COLUMN($C$1)&lt;Controls!$B$7)*$C$27:$BJ$27)</f>
        <v>799134</v>
      </c>
      <c r="BL27" s="24">
        <f>SUMPRODUCT((YEAR(EDATE(Controls!$B$6,COLUMN($C$1:$BJ$1)-COLUMN($C$1)))=YEAR(Controls!$B$6)+1)*(COLUMN($C$1:$BJ$1)-COLUMN($C$1)&lt;Controls!$B$7)*$C$27:$BJ$27)</f>
        <v>989116.80000000016</v>
      </c>
      <c r="BM27" s="24">
        <f>SUMPRODUCT((YEAR(EDATE(Controls!$B$6,COLUMN($C$1:$BJ$1)-COLUMN($C$1)))=YEAR(Controls!$B$6)+2)*(COLUMN($C$1:$BJ$1)-COLUMN($C$1)&lt;Controls!$B$7)*$C$27:$BJ$27)</f>
        <v>1226519.9099999997</v>
      </c>
      <c r="BN27" s="24">
        <f>SUMPRODUCT((YEAR(EDATE(Controls!$B$6,COLUMN($C$1:$BJ$1)-COLUMN($C$1)))=YEAR(Controls!$B$6)+3)*(COLUMN($C$1:$BJ$1)-COLUMN($C$1)&lt;Controls!$B$7)*$C$27:$BJ$27)</f>
        <v>0</v>
      </c>
      <c r="BO27" s="24">
        <f>SUMPRODUCT((YEAR(EDATE(Controls!$B$6,COLUMN($C$1:$BJ$1)-COLUMN($C$1)))=YEAR(Controls!$B$6)+4)*(COLUMN($C$1:$BJ$1)-COLUMN($C$1)&lt;Controls!$B$7)*$C$27:$BJ$27)</f>
        <v>0</v>
      </c>
      <c r="BP27" s="24">
        <f>SUMPRODUCT((YEAR(EDATE(Controls!$B$6,COLUMN($C$1:$BJ$1)-COLUMN($C$1)))=YEAR(Controls!$B$6)+5)*(COLUMN($C$1:$BJ$1)-COLUMN($C$1)&lt;Controls!$B$7)*$C$27:$BJ$27)</f>
        <v>0</v>
      </c>
    </row>
  </sheetData>
  <mergeCells count="7">
    <mergeCell ref="A17:BP17"/>
    <mergeCell ref="A22:BP22"/>
    <mergeCell ref="A1:BM1"/>
    <mergeCell ref="A5:BP5"/>
    <mergeCell ref="A6:BM6"/>
    <mergeCell ref="A7:BP7"/>
    <mergeCell ref="A12:BP1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5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C1:BJ30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BP2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3" sqref="C23"/>
    </sheetView>
  </sheetViews>
  <sheetFormatPr defaultColWidth="8.6328125" defaultRowHeight="14.5" x14ac:dyDescent="0.35"/>
  <cols>
    <col min="1" max="1" width="36" customWidth="1"/>
    <col min="2" max="2" width="12" customWidth="1"/>
    <col min="3" max="62" width="9" customWidth="1"/>
    <col min="63" max="68" width="12" customWidth="1"/>
  </cols>
  <sheetData>
    <row r="1" spans="1:68" ht="27.75" customHeight="1" x14ac:dyDescent="0.35">
      <c r="A1" s="57" t="s">
        <v>218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5" spans="1:68" ht="18" customHeight="1" x14ac:dyDescent="0.35">
      <c r="A5" s="58" t="s">
        <v>219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ht="18" customHeight="1" x14ac:dyDescent="0.35">
      <c r="A6" s="54" t="s">
        <v>220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</row>
    <row r="7" spans="1:68" x14ac:dyDescent="0.35">
      <c r="A7" s="15" t="s">
        <v>221</v>
      </c>
      <c r="B7" s="20" t="s">
        <v>201</v>
      </c>
      <c r="C7" s="10">
        <v>0.2</v>
      </c>
      <c r="D7" s="22" t="s">
        <v>222</v>
      </c>
    </row>
    <row r="8" spans="1:68" x14ac:dyDescent="0.35">
      <c r="A8" s="15" t="s">
        <v>223</v>
      </c>
      <c r="B8" s="20" t="s">
        <v>105</v>
      </c>
      <c r="C8" s="13">
        <v>3000</v>
      </c>
      <c r="D8" s="13">
        <v>3000</v>
      </c>
      <c r="E8" s="13">
        <v>3000</v>
      </c>
      <c r="F8" s="13">
        <v>3000</v>
      </c>
      <c r="G8" s="13">
        <v>3000</v>
      </c>
      <c r="H8" s="13">
        <v>3000</v>
      </c>
      <c r="I8" s="13">
        <v>3000</v>
      </c>
      <c r="J8" s="13">
        <v>3000</v>
      </c>
      <c r="K8" s="13">
        <v>3000</v>
      </c>
      <c r="L8" s="13">
        <v>3000</v>
      </c>
      <c r="M8" s="13">
        <v>3000</v>
      </c>
      <c r="N8" s="13">
        <v>3000</v>
      </c>
      <c r="O8" s="24">
        <f>IF(COLUMN()-2&lt;=Controls!$B$7,C8*(1+$C$7),0)</f>
        <v>3600</v>
      </c>
      <c r="P8" s="24">
        <f>IF(COLUMN()-2&lt;=Controls!$B$7,D8*(1+$C$7),0)</f>
        <v>3600</v>
      </c>
      <c r="Q8" s="24">
        <f>IF(COLUMN()-2&lt;=Controls!$B$7,E8*(1+$C$7),0)</f>
        <v>3600</v>
      </c>
      <c r="R8" s="24">
        <f>IF(COLUMN()-2&lt;=Controls!$B$7,F8*(1+$C$7),0)</f>
        <v>3600</v>
      </c>
      <c r="S8" s="24">
        <f>IF(COLUMN()-2&lt;=Controls!$B$7,G8*(1+$C$7),0)</f>
        <v>3600</v>
      </c>
      <c r="T8" s="24">
        <f>IF(COLUMN()-2&lt;=Controls!$B$7,H8*(1+$C$7),0)</f>
        <v>3600</v>
      </c>
      <c r="U8" s="24">
        <f>IF(COLUMN()-2&lt;=Controls!$B$7,I8*(1+$C$7),0)</f>
        <v>3600</v>
      </c>
      <c r="V8" s="24">
        <f>IF(COLUMN()-2&lt;=Controls!$B$7,J8*(1+$C$7),0)</f>
        <v>3600</v>
      </c>
      <c r="W8" s="24">
        <f>IF(COLUMN()-2&lt;=Controls!$B$7,K8*(1+$C$7),0)</f>
        <v>3600</v>
      </c>
      <c r="X8" s="24">
        <f>IF(COLUMN()-2&lt;=Controls!$B$7,L8*(1+$C$7),0)</f>
        <v>3600</v>
      </c>
      <c r="Y8" s="24">
        <f>IF(COLUMN()-2&lt;=Controls!$B$7,M8*(1+$C$7),0)</f>
        <v>3600</v>
      </c>
      <c r="Z8" s="24">
        <f>IF(COLUMN()-2&lt;=Controls!$B$7,N8*(1+$C$7),0)</f>
        <v>3600</v>
      </c>
      <c r="AA8" s="24">
        <f>IF(COLUMN()-2&lt;=Controls!$B$7,O8*(1+$C$7),0)</f>
        <v>4320</v>
      </c>
      <c r="AB8" s="24">
        <f>IF(COLUMN()-2&lt;=Controls!$B$7,P8*(1+$C$7),0)</f>
        <v>4320</v>
      </c>
      <c r="AC8" s="24">
        <f>IF(COLUMN()-2&lt;=Controls!$B$7,Q8*(1+$C$7),0)</f>
        <v>4320</v>
      </c>
      <c r="AD8" s="24">
        <f>IF(COLUMN()-2&lt;=Controls!$B$7,R8*(1+$C$7),0)</f>
        <v>4320</v>
      </c>
      <c r="AE8" s="24">
        <f>IF(COLUMN()-2&lt;=Controls!$B$7,S8*(1+$C$7),0)</f>
        <v>4320</v>
      </c>
      <c r="AF8" s="24">
        <f>IF(COLUMN()-2&lt;=Controls!$B$7,T8*(1+$C$7),0)</f>
        <v>4320</v>
      </c>
      <c r="AG8" s="24">
        <f>IF(COLUMN()-2&lt;=Controls!$B$7,U8*(1+$C$7),0)</f>
        <v>4320</v>
      </c>
      <c r="AH8" s="24">
        <f>IF(COLUMN()-2&lt;=Controls!$B$7,V8*(1+$C$7),0)</f>
        <v>4320</v>
      </c>
      <c r="AI8" s="24">
        <f>IF(COLUMN()-2&lt;=Controls!$B$7,W8*(1+$C$7),0)</f>
        <v>4320</v>
      </c>
      <c r="AJ8" s="24">
        <f>IF(COLUMN()-2&lt;=Controls!$B$7,X8*(1+$C$7),0)</f>
        <v>4320</v>
      </c>
      <c r="AK8" s="24">
        <f>IF(COLUMN()-2&lt;=Controls!$B$7,Y8*(1+$C$7),0)</f>
        <v>4320</v>
      </c>
      <c r="AL8" s="24">
        <f>IF(COLUMN()-2&lt;=Controls!$B$7,Z8*(1+$C$7),0)</f>
        <v>4320</v>
      </c>
      <c r="AM8" s="24">
        <f>IF(COLUMN()-2&lt;=Controls!$B$7,AA8*(1+$C$7),0)</f>
        <v>0</v>
      </c>
      <c r="AN8" s="24">
        <f>IF(COLUMN()-2&lt;=Controls!$B$7,AB8*(1+$C$7),0)</f>
        <v>0</v>
      </c>
      <c r="AO8" s="24">
        <f>IF(COLUMN()-2&lt;=Controls!$B$7,AC8*(1+$C$7),0)</f>
        <v>0</v>
      </c>
      <c r="AP8" s="24">
        <f>IF(COLUMN()-2&lt;=Controls!$B$7,AD8*(1+$C$7),0)</f>
        <v>0</v>
      </c>
      <c r="AQ8" s="24">
        <f>IF(COLUMN()-2&lt;=Controls!$B$7,AE8*(1+$C$7),0)</f>
        <v>0</v>
      </c>
      <c r="AR8" s="24">
        <f>IF(COLUMN()-2&lt;=Controls!$B$7,AF8*(1+$C$7),0)</f>
        <v>0</v>
      </c>
      <c r="AS8" s="24">
        <f>IF(COLUMN()-2&lt;=Controls!$B$7,AG8*(1+$C$7),0)</f>
        <v>0</v>
      </c>
      <c r="AT8" s="24">
        <f>IF(COLUMN()-2&lt;=Controls!$B$7,AH8*(1+$C$7),0)</f>
        <v>0</v>
      </c>
      <c r="AU8" s="24">
        <f>IF(COLUMN()-2&lt;=Controls!$B$7,AI8*(1+$C$7),0)</f>
        <v>0</v>
      </c>
      <c r="AV8" s="24">
        <f>IF(COLUMN()-2&lt;=Controls!$B$7,AJ8*(1+$C$7),0)</f>
        <v>0</v>
      </c>
      <c r="AW8" s="24">
        <f>IF(COLUMN()-2&lt;=Controls!$B$7,AK8*(1+$C$7),0)</f>
        <v>0</v>
      </c>
      <c r="AX8" s="24">
        <f>IF(COLUMN()-2&lt;=Controls!$B$7,AL8*(1+$C$7),0)</f>
        <v>0</v>
      </c>
      <c r="AY8" s="24">
        <f>IF(COLUMN()-2&lt;=Controls!$B$7,AM8*(1+$C$7),0)</f>
        <v>0</v>
      </c>
      <c r="AZ8" s="24">
        <f>IF(COLUMN()-2&lt;=Controls!$B$7,AN8*(1+$C$7),0)</f>
        <v>0</v>
      </c>
      <c r="BA8" s="24">
        <f>IF(COLUMN()-2&lt;=Controls!$B$7,AO8*(1+$C$7),0)</f>
        <v>0</v>
      </c>
      <c r="BB8" s="24">
        <f>IF(COLUMN()-2&lt;=Controls!$B$7,AP8*(1+$C$7),0)</f>
        <v>0</v>
      </c>
      <c r="BC8" s="24">
        <f>IF(COLUMN()-2&lt;=Controls!$B$7,AQ8*(1+$C$7),0)</f>
        <v>0</v>
      </c>
      <c r="BD8" s="24">
        <f>IF(COLUMN()-2&lt;=Controls!$B$7,AR8*(1+$C$7),0)</f>
        <v>0</v>
      </c>
      <c r="BE8" s="24">
        <f>IF(COLUMN()-2&lt;=Controls!$B$7,AS8*(1+$C$7),0)</f>
        <v>0</v>
      </c>
      <c r="BF8" s="24">
        <f>IF(COLUMN()-2&lt;=Controls!$B$7,AT8*(1+$C$7),0)</f>
        <v>0</v>
      </c>
      <c r="BG8" s="24">
        <f>IF(COLUMN()-2&lt;=Controls!$B$7,AU8*(1+$C$7),0)</f>
        <v>0</v>
      </c>
      <c r="BH8" s="24">
        <f>IF(COLUMN()-2&lt;=Controls!$B$7,AV8*(1+$C$7),0)</f>
        <v>0</v>
      </c>
      <c r="BI8" s="24">
        <f>IF(COLUMN()-2&lt;=Controls!$B$7,AW8*(1+$C$7),0)</f>
        <v>0</v>
      </c>
      <c r="BJ8" s="24">
        <f>IF(COLUMN()-2&lt;=Controls!$B$7,AX8*(1+$C$7),0)</f>
        <v>0</v>
      </c>
      <c r="BK8" s="24">
        <f>SUMPRODUCT((YEAR(EDATE(Controls!$B$6,COLUMN($C$1:$BJ$1)-COLUMN($C$1)))=YEAR(Controls!$B$6)+0)*(COLUMN($C$1:$BJ$1)-COLUMN($C$1)&lt;Controls!$B$7)*$C$8:$BJ$8)</f>
        <v>36000</v>
      </c>
      <c r="BL8" s="24">
        <f>SUMPRODUCT((YEAR(EDATE(Controls!$B$6,COLUMN($C$1:$BJ$1)-COLUMN($C$1)))=YEAR(Controls!$B$6)+1)*(COLUMN($C$1:$BJ$1)-COLUMN($C$1)&lt;Controls!$B$7)*$C$8:$BJ$8)</f>
        <v>43200</v>
      </c>
      <c r="BM8" s="24">
        <f>SUMPRODUCT((YEAR(EDATE(Controls!$B$6,COLUMN($C$1:$BJ$1)-COLUMN($C$1)))=YEAR(Controls!$B$6)+2)*(COLUMN($C$1:$BJ$1)-COLUMN($C$1)&lt;Controls!$B$7)*$C$8:$BJ$8)</f>
        <v>51840</v>
      </c>
      <c r="BN8" s="24">
        <f>SUMPRODUCT((YEAR(EDATE(Controls!$B$6,COLUMN($C$1:$BJ$1)-COLUMN($C$1)))=YEAR(Controls!$B$6)+3)*(COLUMN($C$1:$BJ$1)-COLUMN($C$1)&lt;Controls!$B$7)*$C$8:$BJ$8)</f>
        <v>0</v>
      </c>
      <c r="BO8" s="24">
        <f>SUMPRODUCT((YEAR(EDATE(Controls!$B$6,COLUMN($C$1:$BJ$1)-COLUMN($C$1)))=YEAR(Controls!$B$6)+4)*(COLUMN($C$1:$BJ$1)-COLUMN($C$1)&lt;Controls!$B$7)*$C$8:$BJ$8)</f>
        <v>0</v>
      </c>
      <c r="BP8" s="24">
        <f>SUMPRODUCT((YEAR(EDATE(Controls!$B$6,COLUMN($C$1:$BJ$1)-COLUMN($C$1)))=YEAR(Controls!$B$6)+5)*(COLUMN($C$1:$BJ$1)-COLUMN($C$1)&lt;Controls!$B$7)*$C$8:$BJ$8)</f>
        <v>0</v>
      </c>
    </row>
    <row r="9" spans="1:68" x14ac:dyDescent="0.35">
      <c r="A9" s="15" t="s">
        <v>224</v>
      </c>
      <c r="B9" s="20" t="s">
        <v>105</v>
      </c>
      <c r="C9" s="13">
        <v>1000</v>
      </c>
      <c r="D9" s="13">
        <v>1000</v>
      </c>
      <c r="E9" s="13">
        <v>1000</v>
      </c>
      <c r="F9" s="13">
        <v>1000</v>
      </c>
      <c r="G9" s="13">
        <v>1000</v>
      </c>
      <c r="H9" s="13">
        <v>1000</v>
      </c>
      <c r="I9" s="13">
        <v>1000</v>
      </c>
      <c r="J9" s="13">
        <v>1000</v>
      </c>
      <c r="K9" s="13">
        <v>1000</v>
      </c>
      <c r="L9" s="13">
        <v>1000</v>
      </c>
      <c r="M9" s="13">
        <v>1000</v>
      </c>
      <c r="N9" s="13">
        <v>1000</v>
      </c>
      <c r="O9" s="24">
        <f>IF(COLUMN()-2&lt;=Controls!$B$7,C9*(1+$C$7),0)</f>
        <v>1200</v>
      </c>
      <c r="P9" s="24">
        <f>IF(COLUMN()-2&lt;=Controls!$B$7,D9*(1+$C$7),0)</f>
        <v>1200</v>
      </c>
      <c r="Q9" s="24">
        <f>IF(COLUMN()-2&lt;=Controls!$B$7,E9*(1+$C$7),0)</f>
        <v>1200</v>
      </c>
      <c r="R9" s="24">
        <f>IF(COLUMN()-2&lt;=Controls!$B$7,F9*(1+$C$7),0)</f>
        <v>1200</v>
      </c>
      <c r="S9" s="24">
        <f>IF(COLUMN()-2&lt;=Controls!$B$7,G9*(1+$C$7),0)</f>
        <v>1200</v>
      </c>
      <c r="T9" s="24">
        <f>IF(COLUMN()-2&lt;=Controls!$B$7,H9*(1+$C$7),0)</f>
        <v>1200</v>
      </c>
      <c r="U9" s="24">
        <f>IF(COLUMN()-2&lt;=Controls!$B$7,I9*(1+$C$7),0)</f>
        <v>1200</v>
      </c>
      <c r="V9" s="24">
        <f>IF(COLUMN()-2&lt;=Controls!$B$7,J9*(1+$C$7),0)</f>
        <v>1200</v>
      </c>
      <c r="W9" s="24">
        <f>IF(COLUMN()-2&lt;=Controls!$B$7,K9*(1+$C$7),0)</f>
        <v>1200</v>
      </c>
      <c r="X9" s="24">
        <f>IF(COLUMN()-2&lt;=Controls!$B$7,L9*(1+$C$7),0)</f>
        <v>1200</v>
      </c>
      <c r="Y9" s="24">
        <f>IF(COLUMN()-2&lt;=Controls!$B$7,M9*(1+$C$7),0)</f>
        <v>1200</v>
      </c>
      <c r="Z9" s="24">
        <f>IF(COLUMN()-2&lt;=Controls!$B$7,N9*(1+$C$7),0)</f>
        <v>1200</v>
      </c>
      <c r="AA9" s="24">
        <f>IF(COLUMN()-2&lt;=Controls!$B$7,O9*(1+$C$7),0)</f>
        <v>1440</v>
      </c>
      <c r="AB9" s="24">
        <f>IF(COLUMN()-2&lt;=Controls!$B$7,P9*(1+$C$7),0)</f>
        <v>1440</v>
      </c>
      <c r="AC9" s="24">
        <f>IF(COLUMN()-2&lt;=Controls!$B$7,Q9*(1+$C$7),0)</f>
        <v>1440</v>
      </c>
      <c r="AD9" s="24">
        <f>IF(COLUMN()-2&lt;=Controls!$B$7,R9*(1+$C$7),0)</f>
        <v>1440</v>
      </c>
      <c r="AE9" s="24">
        <f>IF(COLUMN()-2&lt;=Controls!$B$7,S9*(1+$C$7),0)</f>
        <v>1440</v>
      </c>
      <c r="AF9" s="24">
        <f>IF(COLUMN()-2&lt;=Controls!$B$7,T9*(1+$C$7),0)</f>
        <v>1440</v>
      </c>
      <c r="AG9" s="24">
        <f>IF(COLUMN()-2&lt;=Controls!$B$7,U9*(1+$C$7),0)</f>
        <v>1440</v>
      </c>
      <c r="AH9" s="24">
        <f>IF(COLUMN()-2&lt;=Controls!$B$7,V9*(1+$C$7),0)</f>
        <v>1440</v>
      </c>
      <c r="AI9" s="24">
        <f>IF(COLUMN()-2&lt;=Controls!$B$7,W9*(1+$C$7),0)</f>
        <v>1440</v>
      </c>
      <c r="AJ9" s="24">
        <f>IF(COLUMN()-2&lt;=Controls!$B$7,X9*(1+$C$7),0)</f>
        <v>1440</v>
      </c>
      <c r="AK9" s="24">
        <f>IF(COLUMN()-2&lt;=Controls!$B$7,Y9*(1+$C$7),0)</f>
        <v>1440</v>
      </c>
      <c r="AL9" s="24">
        <f>IF(COLUMN()-2&lt;=Controls!$B$7,Z9*(1+$C$7),0)</f>
        <v>1440</v>
      </c>
      <c r="AM9" s="24">
        <f>IF(COLUMN()-2&lt;=Controls!$B$7,AA9*(1+$C$7),0)</f>
        <v>0</v>
      </c>
      <c r="AN9" s="24">
        <f>IF(COLUMN()-2&lt;=Controls!$B$7,AB9*(1+$C$7),0)</f>
        <v>0</v>
      </c>
      <c r="AO9" s="24">
        <f>IF(COLUMN()-2&lt;=Controls!$B$7,AC9*(1+$C$7),0)</f>
        <v>0</v>
      </c>
      <c r="AP9" s="24">
        <f>IF(COLUMN()-2&lt;=Controls!$B$7,AD9*(1+$C$7),0)</f>
        <v>0</v>
      </c>
      <c r="AQ9" s="24">
        <f>IF(COLUMN()-2&lt;=Controls!$B$7,AE9*(1+$C$7),0)</f>
        <v>0</v>
      </c>
      <c r="AR9" s="24">
        <f>IF(COLUMN()-2&lt;=Controls!$B$7,AF9*(1+$C$7),0)</f>
        <v>0</v>
      </c>
      <c r="AS9" s="24">
        <f>IF(COLUMN()-2&lt;=Controls!$B$7,AG9*(1+$C$7),0)</f>
        <v>0</v>
      </c>
      <c r="AT9" s="24">
        <f>IF(COLUMN()-2&lt;=Controls!$B$7,AH9*(1+$C$7),0)</f>
        <v>0</v>
      </c>
      <c r="AU9" s="24">
        <f>IF(COLUMN()-2&lt;=Controls!$B$7,AI9*(1+$C$7),0)</f>
        <v>0</v>
      </c>
      <c r="AV9" s="24">
        <f>IF(COLUMN()-2&lt;=Controls!$B$7,AJ9*(1+$C$7),0)</f>
        <v>0</v>
      </c>
      <c r="AW9" s="24">
        <f>IF(COLUMN()-2&lt;=Controls!$B$7,AK9*(1+$C$7),0)</f>
        <v>0</v>
      </c>
      <c r="AX9" s="24">
        <f>IF(COLUMN()-2&lt;=Controls!$B$7,AL9*(1+$C$7),0)</f>
        <v>0</v>
      </c>
      <c r="AY9" s="24">
        <f>IF(COLUMN()-2&lt;=Controls!$B$7,AM9*(1+$C$7),0)</f>
        <v>0</v>
      </c>
      <c r="AZ9" s="24">
        <f>IF(COLUMN()-2&lt;=Controls!$B$7,AN9*(1+$C$7),0)</f>
        <v>0</v>
      </c>
      <c r="BA9" s="24">
        <f>IF(COLUMN()-2&lt;=Controls!$B$7,AO9*(1+$C$7),0)</f>
        <v>0</v>
      </c>
      <c r="BB9" s="24">
        <f>IF(COLUMN()-2&lt;=Controls!$B$7,AP9*(1+$C$7),0)</f>
        <v>0</v>
      </c>
      <c r="BC9" s="24">
        <f>IF(COLUMN()-2&lt;=Controls!$B$7,AQ9*(1+$C$7),0)</f>
        <v>0</v>
      </c>
      <c r="BD9" s="24">
        <f>IF(COLUMN()-2&lt;=Controls!$B$7,AR9*(1+$C$7),0)</f>
        <v>0</v>
      </c>
      <c r="BE9" s="24">
        <f>IF(COLUMN()-2&lt;=Controls!$B$7,AS9*(1+$C$7),0)</f>
        <v>0</v>
      </c>
      <c r="BF9" s="24">
        <f>IF(COLUMN()-2&lt;=Controls!$B$7,AT9*(1+$C$7),0)</f>
        <v>0</v>
      </c>
      <c r="BG9" s="24">
        <f>IF(COLUMN()-2&lt;=Controls!$B$7,AU9*(1+$C$7),0)</f>
        <v>0</v>
      </c>
      <c r="BH9" s="24">
        <f>IF(COLUMN()-2&lt;=Controls!$B$7,AV9*(1+$C$7),0)</f>
        <v>0</v>
      </c>
      <c r="BI9" s="24">
        <f>IF(COLUMN()-2&lt;=Controls!$B$7,AW9*(1+$C$7),0)</f>
        <v>0</v>
      </c>
      <c r="BJ9" s="24">
        <f>IF(COLUMN()-2&lt;=Controls!$B$7,AX9*(1+$C$7),0)</f>
        <v>0</v>
      </c>
      <c r="BK9" s="24">
        <f>SUMPRODUCT((YEAR(EDATE(Controls!$B$6,COLUMN($C$1:$BJ$1)-COLUMN($C$1)))=YEAR(Controls!$B$6)+0)*(COLUMN($C$1:$BJ$1)-COLUMN($C$1)&lt;Controls!$B$7)*$C$9:$BJ$9)</f>
        <v>12000</v>
      </c>
      <c r="BL9" s="24">
        <f>SUMPRODUCT((YEAR(EDATE(Controls!$B$6,COLUMN($C$1:$BJ$1)-COLUMN($C$1)))=YEAR(Controls!$B$6)+1)*(COLUMN($C$1:$BJ$1)-COLUMN($C$1)&lt;Controls!$B$7)*$C$9:$BJ$9)</f>
        <v>14400</v>
      </c>
      <c r="BM9" s="24">
        <f>SUMPRODUCT((YEAR(EDATE(Controls!$B$6,COLUMN($C$1:$BJ$1)-COLUMN($C$1)))=YEAR(Controls!$B$6)+2)*(COLUMN($C$1:$BJ$1)-COLUMN($C$1)&lt;Controls!$B$7)*$C$9:$BJ$9)</f>
        <v>17280</v>
      </c>
      <c r="BN9" s="24">
        <f>SUMPRODUCT((YEAR(EDATE(Controls!$B$6,COLUMN($C$1:$BJ$1)-COLUMN($C$1)))=YEAR(Controls!$B$6)+3)*(COLUMN($C$1:$BJ$1)-COLUMN($C$1)&lt;Controls!$B$7)*$C$9:$BJ$9)</f>
        <v>0</v>
      </c>
      <c r="BO9" s="24">
        <f>SUMPRODUCT((YEAR(EDATE(Controls!$B$6,COLUMN($C$1:$BJ$1)-COLUMN($C$1)))=YEAR(Controls!$B$6)+4)*(COLUMN($C$1:$BJ$1)-COLUMN($C$1)&lt;Controls!$B$7)*$C$9:$BJ$9)</f>
        <v>0</v>
      </c>
      <c r="BP9" s="24">
        <f>SUMPRODUCT((YEAR(EDATE(Controls!$B$6,COLUMN($C$1:$BJ$1)-COLUMN($C$1)))=YEAR(Controls!$B$6)+5)*(COLUMN($C$1:$BJ$1)-COLUMN($C$1)&lt;Controls!$B$7)*$C$9:$BJ$9)</f>
        <v>0</v>
      </c>
    </row>
    <row r="10" spans="1:68" ht="18" customHeight="1" x14ac:dyDescent="0.35">
      <c r="A10" s="54" t="s">
        <v>225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</row>
    <row r="11" spans="1:68" x14ac:dyDescent="0.35">
      <c r="A11" s="15" t="s">
        <v>226</v>
      </c>
      <c r="B11" s="20" t="s">
        <v>201</v>
      </c>
      <c r="C11" s="10">
        <v>0.35</v>
      </c>
      <c r="D11" s="22" t="s">
        <v>222</v>
      </c>
    </row>
    <row r="12" spans="1:68" x14ac:dyDescent="0.35">
      <c r="A12" s="15" t="s">
        <v>227</v>
      </c>
      <c r="B12" s="20" t="s">
        <v>105</v>
      </c>
      <c r="C12" s="13">
        <v>8000</v>
      </c>
      <c r="D12" s="13">
        <v>8000</v>
      </c>
      <c r="E12" s="13">
        <v>8000</v>
      </c>
      <c r="F12" s="13">
        <v>8000</v>
      </c>
      <c r="G12" s="13">
        <v>8000</v>
      </c>
      <c r="H12" s="13">
        <v>8000</v>
      </c>
      <c r="I12" s="13">
        <v>8000</v>
      </c>
      <c r="J12" s="13">
        <v>8000</v>
      </c>
      <c r="K12" s="13">
        <v>8000</v>
      </c>
      <c r="L12" s="13">
        <v>8000</v>
      </c>
      <c r="M12" s="13">
        <v>8000</v>
      </c>
      <c r="N12" s="13">
        <v>8000</v>
      </c>
      <c r="O12" s="24">
        <f>IF(COLUMN()-2&lt;=Controls!$B$7,C12*(1+$C$11),0)</f>
        <v>10800</v>
      </c>
      <c r="P12" s="24">
        <f>IF(COLUMN()-2&lt;=Controls!$B$7,D12*(1+$C$11),0)</f>
        <v>10800</v>
      </c>
      <c r="Q12" s="24">
        <f>IF(COLUMN()-2&lt;=Controls!$B$7,E12*(1+$C$11),0)</f>
        <v>10800</v>
      </c>
      <c r="R12" s="24">
        <f>IF(COLUMN()-2&lt;=Controls!$B$7,F12*(1+$C$11),0)</f>
        <v>10800</v>
      </c>
      <c r="S12" s="24">
        <f>IF(COLUMN()-2&lt;=Controls!$B$7,G12*(1+$C$11),0)</f>
        <v>10800</v>
      </c>
      <c r="T12" s="24">
        <f>IF(COLUMN()-2&lt;=Controls!$B$7,H12*(1+$C$11),0)</f>
        <v>10800</v>
      </c>
      <c r="U12" s="24">
        <f>IF(COLUMN()-2&lt;=Controls!$B$7,I12*(1+$C$11),0)</f>
        <v>10800</v>
      </c>
      <c r="V12" s="24">
        <f>IF(COLUMN()-2&lt;=Controls!$B$7,J12*(1+$C$11),0)</f>
        <v>10800</v>
      </c>
      <c r="W12" s="24">
        <f>IF(COLUMN()-2&lt;=Controls!$B$7,K12*(1+$C$11),0)</f>
        <v>10800</v>
      </c>
      <c r="X12" s="24">
        <f>IF(COLUMN()-2&lt;=Controls!$B$7,L12*(1+$C$11),0)</f>
        <v>10800</v>
      </c>
      <c r="Y12" s="24">
        <f>IF(COLUMN()-2&lt;=Controls!$B$7,M12*(1+$C$11),0)</f>
        <v>10800</v>
      </c>
      <c r="Z12" s="24">
        <f>IF(COLUMN()-2&lt;=Controls!$B$7,N12*(1+$C$11),0)</f>
        <v>10800</v>
      </c>
      <c r="AA12" s="24">
        <f>IF(COLUMN()-2&lt;=Controls!$B$7,O12*(1+$C$11),0)</f>
        <v>14580.000000000002</v>
      </c>
      <c r="AB12" s="24">
        <f>IF(COLUMN()-2&lt;=Controls!$B$7,P12*(1+$C$11),0)</f>
        <v>14580.000000000002</v>
      </c>
      <c r="AC12" s="24">
        <f>IF(COLUMN()-2&lt;=Controls!$B$7,Q12*(1+$C$11),0)</f>
        <v>14580.000000000002</v>
      </c>
      <c r="AD12" s="24">
        <f>IF(COLUMN()-2&lt;=Controls!$B$7,R12*(1+$C$11),0)</f>
        <v>14580.000000000002</v>
      </c>
      <c r="AE12" s="24">
        <f>IF(COLUMN()-2&lt;=Controls!$B$7,S12*(1+$C$11),0)</f>
        <v>14580.000000000002</v>
      </c>
      <c r="AF12" s="24">
        <f>IF(COLUMN()-2&lt;=Controls!$B$7,T12*(1+$C$11),0)</f>
        <v>14580.000000000002</v>
      </c>
      <c r="AG12" s="24">
        <f>IF(COLUMN()-2&lt;=Controls!$B$7,U12*(1+$C$11),0)</f>
        <v>14580.000000000002</v>
      </c>
      <c r="AH12" s="24">
        <f>IF(COLUMN()-2&lt;=Controls!$B$7,V12*(1+$C$11),0)</f>
        <v>14580.000000000002</v>
      </c>
      <c r="AI12" s="24">
        <f>IF(COLUMN()-2&lt;=Controls!$B$7,W12*(1+$C$11),0)</f>
        <v>14580.000000000002</v>
      </c>
      <c r="AJ12" s="24">
        <f>IF(COLUMN()-2&lt;=Controls!$B$7,X12*(1+$C$11),0)</f>
        <v>14580.000000000002</v>
      </c>
      <c r="AK12" s="24">
        <f>IF(COLUMN()-2&lt;=Controls!$B$7,Y12*(1+$C$11),0)</f>
        <v>14580.000000000002</v>
      </c>
      <c r="AL12" s="24">
        <f>IF(COLUMN()-2&lt;=Controls!$B$7,Z12*(1+$C$11),0)</f>
        <v>14580.000000000002</v>
      </c>
      <c r="AM12" s="24">
        <f>IF(COLUMN()-2&lt;=Controls!$B$7,AA12*(1+$C$11),0)</f>
        <v>0</v>
      </c>
      <c r="AN12" s="24">
        <f>IF(COLUMN()-2&lt;=Controls!$B$7,AB12*(1+$C$11),0)</f>
        <v>0</v>
      </c>
      <c r="AO12" s="24">
        <f>IF(COLUMN()-2&lt;=Controls!$B$7,AC12*(1+$C$11),0)</f>
        <v>0</v>
      </c>
      <c r="AP12" s="24">
        <f>IF(COLUMN()-2&lt;=Controls!$B$7,AD12*(1+$C$11),0)</f>
        <v>0</v>
      </c>
      <c r="AQ12" s="24">
        <f>IF(COLUMN()-2&lt;=Controls!$B$7,AE12*(1+$C$11),0)</f>
        <v>0</v>
      </c>
      <c r="AR12" s="24">
        <f>IF(COLUMN()-2&lt;=Controls!$B$7,AF12*(1+$C$11),0)</f>
        <v>0</v>
      </c>
      <c r="AS12" s="24">
        <f>IF(COLUMN()-2&lt;=Controls!$B$7,AG12*(1+$C$11),0)</f>
        <v>0</v>
      </c>
      <c r="AT12" s="24">
        <f>IF(COLUMN()-2&lt;=Controls!$B$7,AH12*(1+$C$11),0)</f>
        <v>0</v>
      </c>
      <c r="AU12" s="24">
        <f>IF(COLUMN()-2&lt;=Controls!$B$7,AI12*(1+$C$11),0)</f>
        <v>0</v>
      </c>
      <c r="AV12" s="24">
        <f>IF(COLUMN()-2&lt;=Controls!$B$7,AJ12*(1+$C$11),0)</f>
        <v>0</v>
      </c>
      <c r="AW12" s="24">
        <f>IF(COLUMN()-2&lt;=Controls!$B$7,AK12*(1+$C$11),0)</f>
        <v>0</v>
      </c>
      <c r="AX12" s="24">
        <f>IF(COLUMN()-2&lt;=Controls!$B$7,AL12*(1+$C$11),0)</f>
        <v>0</v>
      </c>
      <c r="AY12" s="24">
        <f>IF(COLUMN()-2&lt;=Controls!$B$7,AM12*(1+$C$11),0)</f>
        <v>0</v>
      </c>
      <c r="AZ12" s="24">
        <f>IF(COLUMN()-2&lt;=Controls!$B$7,AN12*(1+$C$11),0)</f>
        <v>0</v>
      </c>
      <c r="BA12" s="24">
        <f>IF(COLUMN()-2&lt;=Controls!$B$7,AO12*(1+$C$11),0)</f>
        <v>0</v>
      </c>
      <c r="BB12" s="24">
        <f>IF(COLUMN()-2&lt;=Controls!$B$7,AP12*(1+$C$11),0)</f>
        <v>0</v>
      </c>
      <c r="BC12" s="24">
        <f>IF(COLUMN()-2&lt;=Controls!$B$7,AQ12*(1+$C$11),0)</f>
        <v>0</v>
      </c>
      <c r="BD12" s="24">
        <f>IF(COLUMN()-2&lt;=Controls!$B$7,AR12*(1+$C$11),0)</f>
        <v>0</v>
      </c>
      <c r="BE12" s="24">
        <f>IF(COLUMN()-2&lt;=Controls!$B$7,AS12*(1+$C$11),0)</f>
        <v>0</v>
      </c>
      <c r="BF12" s="24">
        <f>IF(COLUMN()-2&lt;=Controls!$B$7,AT12*(1+$C$11),0)</f>
        <v>0</v>
      </c>
      <c r="BG12" s="24">
        <f>IF(COLUMN()-2&lt;=Controls!$B$7,AU12*(1+$C$11),0)</f>
        <v>0</v>
      </c>
      <c r="BH12" s="24">
        <f>IF(COLUMN()-2&lt;=Controls!$B$7,AV12*(1+$C$11),0)</f>
        <v>0</v>
      </c>
      <c r="BI12" s="24">
        <f>IF(COLUMN()-2&lt;=Controls!$B$7,AW12*(1+$C$11),0)</f>
        <v>0</v>
      </c>
      <c r="BJ12" s="24">
        <f>IF(COLUMN()-2&lt;=Controls!$B$7,AX12*(1+$C$11),0)</f>
        <v>0</v>
      </c>
      <c r="BK12" s="24">
        <f>SUMPRODUCT((YEAR(EDATE(Controls!$B$6,COLUMN($C$1:$BJ$1)-COLUMN($C$1)))=YEAR(Controls!$B$6)+0)*(COLUMN($C$1:$BJ$1)-COLUMN($C$1)&lt;Controls!$B$7)*$C$12:$BJ$12)</f>
        <v>96000</v>
      </c>
      <c r="BL12" s="24">
        <f>SUMPRODUCT((YEAR(EDATE(Controls!$B$6,COLUMN($C$1:$BJ$1)-COLUMN($C$1)))=YEAR(Controls!$B$6)+1)*(COLUMN($C$1:$BJ$1)-COLUMN($C$1)&lt;Controls!$B$7)*$C$12:$BJ$12)</f>
        <v>129600</v>
      </c>
      <c r="BM12" s="24">
        <f>SUMPRODUCT((YEAR(EDATE(Controls!$B$6,COLUMN($C$1:$BJ$1)-COLUMN($C$1)))=YEAR(Controls!$B$6)+2)*(COLUMN($C$1:$BJ$1)-COLUMN($C$1)&lt;Controls!$B$7)*$C$12:$BJ$12)</f>
        <v>174960.00000000003</v>
      </c>
      <c r="BN12" s="24">
        <f>SUMPRODUCT((YEAR(EDATE(Controls!$B$6,COLUMN($C$1:$BJ$1)-COLUMN($C$1)))=YEAR(Controls!$B$6)+3)*(COLUMN($C$1:$BJ$1)-COLUMN($C$1)&lt;Controls!$B$7)*$C$12:$BJ$12)</f>
        <v>0</v>
      </c>
      <c r="BO12" s="24">
        <f>SUMPRODUCT((YEAR(EDATE(Controls!$B$6,COLUMN($C$1:$BJ$1)-COLUMN($C$1)))=YEAR(Controls!$B$6)+4)*(COLUMN($C$1:$BJ$1)-COLUMN($C$1)&lt;Controls!$B$7)*$C$12:$BJ$12)</f>
        <v>0</v>
      </c>
      <c r="BP12" s="24">
        <f>SUMPRODUCT((YEAR(EDATE(Controls!$B$6,COLUMN($C$1:$BJ$1)-COLUMN($C$1)))=YEAR(Controls!$B$6)+5)*(COLUMN($C$1:$BJ$1)-COLUMN($C$1)&lt;Controls!$B$7)*$C$12:$BJ$12)</f>
        <v>0</v>
      </c>
    </row>
    <row r="13" spans="1:68" x14ac:dyDescent="0.35">
      <c r="A13" s="15" t="s">
        <v>228</v>
      </c>
      <c r="B13" s="20" t="s">
        <v>105</v>
      </c>
      <c r="C13" s="13">
        <v>1500</v>
      </c>
      <c r="D13" s="13">
        <v>1500</v>
      </c>
      <c r="E13" s="13">
        <v>1500</v>
      </c>
      <c r="F13" s="13">
        <v>1500</v>
      </c>
      <c r="G13" s="13">
        <v>1500</v>
      </c>
      <c r="H13" s="13">
        <v>1500</v>
      </c>
      <c r="I13" s="13">
        <v>1500</v>
      </c>
      <c r="J13" s="13">
        <v>1500</v>
      </c>
      <c r="K13" s="13">
        <v>1500</v>
      </c>
      <c r="L13" s="13">
        <v>1500</v>
      </c>
      <c r="M13" s="13">
        <v>1500</v>
      </c>
      <c r="N13" s="13">
        <v>1500</v>
      </c>
      <c r="O13" s="24">
        <f>IF(COLUMN()-2&lt;=Controls!$B$7,C13*(1+$C$11),0)</f>
        <v>2025.0000000000002</v>
      </c>
      <c r="P13" s="24">
        <f>IF(COLUMN()-2&lt;=Controls!$B$7,D13*(1+$C$11),0)</f>
        <v>2025.0000000000002</v>
      </c>
      <c r="Q13" s="24">
        <f>IF(COLUMN()-2&lt;=Controls!$B$7,E13*(1+$C$11),0)</f>
        <v>2025.0000000000002</v>
      </c>
      <c r="R13" s="24">
        <f>IF(COLUMN()-2&lt;=Controls!$B$7,F13*(1+$C$11),0)</f>
        <v>2025.0000000000002</v>
      </c>
      <c r="S13" s="24">
        <f>IF(COLUMN()-2&lt;=Controls!$B$7,G13*(1+$C$11),0)</f>
        <v>2025.0000000000002</v>
      </c>
      <c r="T13" s="24">
        <f>IF(COLUMN()-2&lt;=Controls!$B$7,H13*(1+$C$11),0)</f>
        <v>2025.0000000000002</v>
      </c>
      <c r="U13" s="24">
        <f>IF(COLUMN()-2&lt;=Controls!$B$7,I13*(1+$C$11),0)</f>
        <v>2025.0000000000002</v>
      </c>
      <c r="V13" s="24">
        <f>IF(COLUMN()-2&lt;=Controls!$B$7,J13*(1+$C$11),0)</f>
        <v>2025.0000000000002</v>
      </c>
      <c r="W13" s="24">
        <f>IF(COLUMN()-2&lt;=Controls!$B$7,K13*(1+$C$11),0)</f>
        <v>2025.0000000000002</v>
      </c>
      <c r="X13" s="24">
        <f>IF(COLUMN()-2&lt;=Controls!$B$7,L13*(1+$C$11),0)</f>
        <v>2025.0000000000002</v>
      </c>
      <c r="Y13" s="24">
        <f>IF(COLUMN()-2&lt;=Controls!$B$7,M13*(1+$C$11),0)</f>
        <v>2025.0000000000002</v>
      </c>
      <c r="Z13" s="24">
        <f>IF(COLUMN()-2&lt;=Controls!$B$7,N13*(1+$C$11),0)</f>
        <v>2025.0000000000002</v>
      </c>
      <c r="AA13" s="24">
        <f>IF(COLUMN()-2&lt;=Controls!$B$7,O13*(1+$C$11),0)</f>
        <v>2733.7500000000005</v>
      </c>
      <c r="AB13" s="24">
        <f>IF(COLUMN()-2&lt;=Controls!$B$7,P13*(1+$C$11),0)</f>
        <v>2733.7500000000005</v>
      </c>
      <c r="AC13" s="24">
        <f>IF(COLUMN()-2&lt;=Controls!$B$7,Q13*(1+$C$11),0)</f>
        <v>2733.7500000000005</v>
      </c>
      <c r="AD13" s="24">
        <f>IF(COLUMN()-2&lt;=Controls!$B$7,R13*(1+$C$11),0)</f>
        <v>2733.7500000000005</v>
      </c>
      <c r="AE13" s="24">
        <f>IF(COLUMN()-2&lt;=Controls!$B$7,S13*(1+$C$11),0)</f>
        <v>2733.7500000000005</v>
      </c>
      <c r="AF13" s="24">
        <f>IF(COLUMN()-2&lt;=Controls!$B$7,T13*(1+$C$11),0)</f>
        <v>2733.7500000000005</v>
      </c>
      <c r="AG13" s="24">
        <f>IF(COLUMN()-2&lt;=Controls!$B$7,U13*(1+$C$11),0)</f>
        <v>2733.7500000000005</v>
      </c>
      <c r="AH13" s="24">
        <f>IF(COLUMN()-2&lt;=Controls!$B$7,V13*(1+$C$11),0)</f>
        <v>2733.7500000000005</v>
      </c>
      <c r="AI13" s="24">
        <f>IF(COLUMN()-2&lt;=Controls!$B$7,W13*(1+$C$11),0)</f>
        <v>2733.7500000000005</v>
      </c>
      <c r="AJ13" s="24">
        <f>IF(COLUMN()-2&lt;=Controls!$B$7,X13*(1+$C$11),0)</f>
        <v>2733.7500000000005</v>
      </c>
      <c r="AK13" s="24">
        <f>IF(COLUMN()-2&lt;=Controls!$B$7,Y13*(1+$C$11),0)</f>
        <v>2733.7500000000005</v>
      </c>
      <c r="AL13" s="24">
        <f>IF(COLUMN()-2&lt;=Controls!$B$7,Z13*(1+$C$11),0)</f>
        <v>2733.7500000000005</v>
      </c>
      <c r="AM13" s="24">
        <f>IF(COLUMN()-2&lt;=Controls!$B$7,AA13*(1+$C$11),0)</f>
        <v>0</v>
      </c>
      <c r="AN13" s="24">
        <f>IF(COLUMN()-2&lt;=Controls!$B$7,AB13*(1+$C$11),0)</f>
        <v>0</v>
      </c>
      <c r="AO13" s="24">
        <f>IF(COLUMN()-2&lt;=Controls!$B$7,AC13*(1+$C$11),0)</f>
        <v>0</v>
      </c>
      <c r="AP13" s="24">
        <f>IF(COLUMN()-2&lt;=Controls!$B$7,AD13*(1+$C$11),0)</f>
        <v>0</v>
      </c>
      <c r="AQ13" s="24">
        <f>IF(COLUMN()-2&lt;=Controls!$B$7,AE13*(1+$C$11),0)</f>
        <v>0</v>
      </c>
      <c r="AR13" s="24">
        <f>IF(COLUMN()-2&lt;=Controls!$B$7,AF13*(1+$C$11),0)</f>
        <v>0</v>
      </c>
      <c r="AS13" s="24">
        <f>IF(COLUMN()-2&lt;=Controls!$B$7,AG13*(1+$C$11),0)</f>
        <v>0</v>
      </c>
      <c r="AT13" s="24">
        <f>IF(COLUMN()-2&lt;=Controls!$B$7,AH13*(1+$C$11),0)</f>
        <v>0</v>
      </c>
      <c r="AU13" s="24">
        <f>IF(COLUMN()-2&lt;=Controls!$B$7,AI13*(1+$C$11),0)</f>
        <v>0</v>
      </c>
      <c r="AV13" s="24">
        <f>IF(COLUMN()-2&lt;=Controls!$B$7,AJ13*(1+$C$11),0)</f>
        <v>0</v>
      </c>
      <c r="AW13" s="24">
        <f>IF(COLUMN()-2&lt;=Controls!$B$7,AK13*(1+$C$11),0)</f>
        <v>0</v>
      </c>
      <c r="AX13" s="24">
        <f>IF(COLUMN()-2&lt;=Controls!$B$7,AL13*(1+$C$11),0)</f>
        <v>0</v>
      </c>
      <c r="AY13" s="24">
        <f>IF(COLUMN()-2&lt;=Controls!$B$7,AM13*(1+$C$11),0)</f>
        <v>0</v>
      </c>
      <c r="AZ13" s="24">
        <f>IF(COLUMN()-2&lt;=Controls!$B$7,AN13*(1+$C$11),0)</f>
        <v>0</v>
      </c>
      <c r="BA13" s="24">
        <f>IF(COLUMN()-2&lt;=Controls!$B$7,AO13*(1+$C$11),0)</f>
        <v>0</v>
      </c>
      <c r="BB13" s="24">
        <f>IF(COLUMN()-2&lt;=Controls!$B$7,AP13*(1+$C$11),0)</f>
        <v>0</v>
      </c>
      <c r="BC13" s="24">
        <f>IF(COLUMN()-2&lt;=Controls!$B$7,AQ13*(1+$C$11),0)</f>
        <v>0</v>
      </c>
      <c r="BD13" s="24">
        <f>IF(COLUMN()-2&lt;=Controls!$B$7,AR13*(1+$C$11),0)</f>
        <v>0</v>
      </c>
      <c r="BE13" s="24">
        <f>IF(COLUMN()-2&lt;=Controls!$B$7,AS13*(1+$C$11),0)</f>
        <v>0</v>
      </c>
      <c r="BF13" s="24">
        <f>IF(COLUMN()-2&lt;=Controls!$B$7,AT13*(1+$C$11),0)</f>
        <v>0</v>
      </c>
      <c r="BG13" s="24">
        <f>IF(COLUMN()-2&lt;=Controls!$B$7,AU13*(1+$C$11),0)</f>
        <v>0</v>
      </c>
      <c r="BH13" s="24">
        <f>IF(COLUMN()-2&lt;=Controls!$B$7,AV13*(1+$C$11),0)</f>
        <v>0</v>
      </c>
      <c r="BI13" s="24">
        <f>IF(COLUMN()-2&lt;=Controls!$B$7,AW13*(1+$C$11),0)</f>
        <v>0</v>
      </c>
      <c r="BJ13" s="24">
        <f>IF(COLUMN()-2&lt;=Controls!$B$7,AX13*(1+$C$11),0)</f>
        <v>0</v>
      </c>
      <c r="BK13" s="24">
        <f>SUMPRODUCT((YEAR(EDATE(Controls!$B$6,COLUMN($C$1:$BJ$1)-COLUMN($C$1)))=YEAR(Controls!$B$6)+0)*(COLUMN($C$1:$BJ$1)-COLUMN($C$1)&lt;Controls!$B$7)*$C$13:$BJ$13)</f>
        <v>18000</v>
      </c>
      <c r="BL13" s="24">
        <f>SUMPRODUCT((YEAR(EDATE(Controls!$B$6,COLUMN($C$1:$BJ$1)-COLUMN($C$1)))=YEAR(Controls!$B$6)+1)*(COLUMN($C$1:$BJ$1)-COLUMN($C$1)&lt;Controls!$B$7)*$C$13:$BJ$13)</f>
        <v>24300.000000000004</v>
      </c>
      <c r="BM13" s="24">
        <f>SUMPRODUCT((YEAR(EDATE(Controls!$B$6,COLUMN($C$1:$BJ$1)-COLUMN($C$1)))=YEAR(Controls!$B$6)+2)*(COLUMN($C$1:$BJ$1)-COLUMN($C$1)&lt;Controls!$B$7)*$C$13:$BJ$13)</f>
        <v>32805.000000000007</v>
      </c>
      <c r="BN13" s="24">
        <f>SUMPRODUCT((YEAR(EDATE(Controls!$B$6,COLUMN($C$1:$BJ$1)-COLUMN($C$1)))=YEAR(Controls!$B$6)+3)*(COLUMN($C$1:$BJ$1)-COLUMN($C$1)&lt;Controls!$B$7)*$C$13:$BJ$13)</f>
        <v>0</v>
      </c>
      <c r="BO13" s="24">
        <f>SUMPRODUCT((YEAR(EDATE(Controls!$B$6,COLUMN($C$1:$BJ$1)-COLUMN($C$1)))=YEAR(Controls!$B$6)+4)*(COLUMN($C$1:$BJ$1)-COLUMN($C$1)&lt;Controls!$B$7)*$C$13:$BJ$13)</f>
        <v>0</v>
      </c>
      <c r="BP13" s="24">
        <f>SUMPRODUCT((YEAR(EDATE(Controls!$B$6,COLUMN($C$1:$BJ$1)-COLUMN($C$1)))=YEAR(Controls!$B$6)+5)*(COLUMN($C$1:$BJ$1)-COLUMN($C$1)&lt;Controls!$B$7)*$C$13:$BJ$13)</f>
        <v>0</v>
      </c>
    </row>
    <row r="14" spans="1:68" x14ac:dyDescent="0.35">
      <c r="A14" s="15" t="s">
        <v>229</v>
      </c>
      <c r="B14" s="20" t="s">
        <v>105</v>
      </c>
      <c r="C14" s="13">
        <v>2000</v>
      </c>
      <c r="D14" s="13">
        <v>2000</v>
      </c>
      <c r="E14" s="13">
        <v>2000</v>
      </c>
      <c r="F14" s="13">
        <v>2000</v>
      </c>
      <c r="G14" s="13">
        <v>2000</v>
      </c>
      <c r="H14" s="13">
        <v>2000</v>
      </c>
      <c r="I14" s="13">
        <v>2000</v>
      </c>
      <c r="J14" s="13">
        <v>2000</v>
      </c>
      <c r="K14" s="13">
        <v>2000</v>
      </c>
      <c r="L14" s="13">
        <v>2000</v>
      </c>
      <c r="M14" s="13">
        <v>2000</v>
      </c>
      <c r="N14" s="13">
        <v>2000</v>
      </c>
      <c r="O14" s="24">
        <f>IF(COLUMN()-2&lt;=Controls!$B$7,C14*(1+$C$11),0)</f>
        <v>2700</v>
      </c>
      <c r="P14" s="24">
        <f>IF(COLUMN()-2&lt;=Controls!$B$7,D14*(1+$C$11),0)</f>
        <v>2700</v>
      </c>
      <c r="Q14" s="24">
        <f>IF(COLUMN()-2&lt;=Controls!$B$7,E14*(1+$C$11),0)</f>
        <v>2700</v>
      </c>
      <c r="R14" s="24">
        <f>IF(COLUMN()-2&lt;=Controls!$B$7,F14*(1+$C$11),0)</f>
        <v>2700</v>
      </c>
      <c r="S14" s="24">
        <f>IF(COLUMN()-2&lt;=Controls!$B$7,G14*(1+$C$11),0)</f>
        <v>2700</v>
      </c>
      <c r="T14" s="24">
        <f>IF(COLUMN()-2&lt;=Controls!$B$7,H14*(1+$C$11),0)</f>
        <v>2700</v>
      </c>
      <c r="U14" s="24">
        <f>IF(COLUMN()-2&lt;=Controls!$B$7,I14*(1+$C$11),0)</f>
        <v>2700</v>
      </c>
      <c r="V14" s="24">
        <f>IF(COLUMN()-2&lt;=Controls!$B$7,J14*(1+$C$11),0)</f>
        <v>2700</v>
      </c>
      <c r="W14" s="24">
        <f>IF(COLUMN()-2&lt;=Controls!$B$7,K14*(1+$C$11),0)</f>
        <v>2700</v>
      </c>
      <c r="X14" s="24">
        <f>IF(COLUMN()-2&lt;=Controls!$B$7,L14*(1+$C$11),0)</f>
        <v>2700</v>
      </c>
      <c r="Y14" s="24">
        <f>IF(COLUMN()-2&lt;=Controls!$B$7,M14*(1+$C$11),0)</f>
        <v>2700</v>
      </c>
      <c r="Z14" s="24">
        <f>IF(COLUMN()-2&lt;=Controls!$B$7,N14*(1+$C$11),0)</f>
        <v>2700</v>
      </c>
      <c r="AA14" s="24">
        <f>IF(COLUMN()-2&lt;=Controls!$B$7,O14*(1+$C$11),0)</f>
        <v>3645.0000000000005</v>
      </c>
      <c r="AB14" s="24">
        <f>IF(COLUMN()-2&lt;=Controls!$B$7,P14*(1+$C$11),0)</f>
        <v>3645.0000000000005</v>
      </c>
      <c r="AC14" s="24">
        <f>IF(COLUMN()-2&lt;=Controls!$B$7,Q14*(1+$C$11),0)</f>
        <v>3645.0000000000005</v>
      </c>
      <c r="AD14" s="24">
        <f>IF(COLUMN()-2&lt;=Controls!$B$7,R14*(1+$C$11),0)</f>
        <v>3645.0000000000005</v>
      </c>
      <c r="AE14" s="24">
        <f>IF(COLUMN()-2&lt;=Controls!$B$7,S14*(1+$C$11),0)</f>
        <v>3645.0000000000005</v>
      </c>
      <c r="AF14" s="24">
        <f>IF(COLUMN()-2&lt;=Controls!$B$7,T14*(1+$C$11),0)</f>
        <v>3645.0000000000005</v>
      </c>
      <c r="AG14" s="24">
        <f>IF(COLUMN()-2&lt;=Controls!$B$7,U14*(1+$C$11),0)</f>
        <v>3645.0000000000005</v>
      </c>
      <c r="AH14" s="24">
        <f>IF(COLUMN()-2&lt;=Controls!$B$7,V14*(1+$C$11),0)</f>
        <v>3645.0000000000005</v>
      </c>
      <c r="AI14" s="24">
        <f>IF(COLUMN()-2&lt;=Controls!$B$7,W14*(1+$C$11),0)</f>
        <v>3645.0000000000005</v>
      </c>
      <c r="AJ14" s="24">
        <f>IF(COLUMN()-2&lt;=Controls!$B$7,X14*(1+$C$11),0)</f>
        <v>3645.0000000000005</v>
      </c>
      <c r="AK14" s="24">
        <f>IF(COLUMN()-2&lt;=Controls!$B$7,Y14*(1+$C$11),0)</f>
        <v>3645.0000000000005</v>
      </c>
      <c r="AL14" s="24">
        <f>IF(COLUMN()-2&lt;=Controls!$B$7,Z14*(1+$C$11),0)</f>
        <v>3645.0000000000005</v>
      </c>
      <c r="AM14" s="24">
        <f>IF(COLUMN()-2&lt;=Controls!$B$7,AA14*(1+$C$11),0)</f>
        <v>0</v>
      </c>
      <c r="AN14" s="24">
        <f>IF(COLUMN()-2&lt;=Controls!$B$7,AB14*(1+$C$11),0)</f>
        <v>0</v>
      </c>
      <c r="AO14" s="24">
        <f>IF(COLUMN()-2&lt;=Controls!$B$7,AC14*(1+$C$11),0)</f>
        <v>0</v>
      </c>
      <c r="AP14" s="24">
        <f>IF(COLUMN()-2&lt;=Controls!$B$7,AD14*(1+$C$11),0)</f>
        <v>0</v>
      </c>
      <c r="AQ14" s="24">
        <f>IF(COLUMN()-2&lt;=Controls!$B$7,AE14*(1+$C$11),0)</f>
        <v>0</v>
      </c>
      <c r="AR14" s="24">
        <f>IF(COLUMN()-2&lt;=Controls!$B$7,AF14*(1+$C$11),0)</f>
        <v>0</v>
      </c>
      <c r="AS14" s="24">
        <f>IF(COLUMN()-2&lt;=Controls!$B$7,AG14*(1+$C$11),0)</f>
        <v>0</v>
      </c>
      <c r="AT14" s="24">
        <f>IF(COLUMN()-2&lt;=Controls!$B$7,AH14*(1+$C$11),0)</f>
        <v>0</v>
      </c>
      <c r="AU14" s="24">
        <f>IF(COLUMN()-2&lt;=Controls!$B$7,AI14*(1+$C$11),0)</f>
        <v>0</v>
      </c>
      <c r="AV14" s="24">
        <f>IF(COLUMN()-2&lt;=Controls!$B$7,AJ14*(1+$C$11),0)</f>
        <v>0</v>
      </c>
      <c r="AW14" s="24">
        <f>IF(COLUMN()-2&lt;=Controls!$B$7,AK14*(1+$C$11),0)</f>
        <v>0</v>
      </c>
      <c r="AX14" s="24">
        <f>IF(COLUMN()-2&lt;=Controls!$B$7,AL14*(1+$C$11),0)</f>
        <v>0</v>
      </c>
      <c r="AY14" s="24">
        <f>IF(COLUMN()-2&lt;=Controls!$B$7,AM14*(1+$C$11),0)</f>
        <v>0</v>
      </c>
      <c r="AZ14" s="24">
        <f>IF(COLUMN()-2&lt;=Controls!$B$7,AN14*(1+$C$11),0)</f>
        <v>0</v>
      </c>
      <c r="BA14" s="24">
        <f>IF(COLUMN()-2&lt;=Controls!$B$7,AO14*(1+$C$11),0)</f>
        <v>0</v>
      </c>
      <c r="BB14" s="24">
        <f>IF(COLUMN()-2&lt;=Controls!$B$7,AP14*(1+$C$11),0)</f>
        <v>0</v>
      </c>
      <c r="BC14" s="24">
        <f>IF(COLUMN()-2&lt;=Controls!$B$7,AQ14*(1+$C$11),0)</f>
        <v>0</v>
      </c>
      <c r="BD14" s="24">
        <f>IF(COLUMN()-2&lt;=Controls!$B$7,AR14*(1+$C$11),0)</f>
        <v>0</v>
      </c>
      <c r="BE14" s="24">
        <f>IF(COLUMN()-2&lt;=Controls!$B$7,AS14*(1+$C$11),0)</f>
        <v>0</v>
      </c>
      <c r="BF14" s="24">
        <f>IF(COLUMN()-2&lt;=Controls!$B$7,AT14*(1+$C$11),0)</f>
        <v>0</v>
      </c>
      <c r="BG14" s="24">
        <f>IF(COLUMN()-2&lt;=Controls!$B$7,AU14*(1+$C$11),0)</f>
        <v>0</v>
      </c>
      <c r="BH14" s="24">
        <f>IF(COLUMN()-2&lt;=Controls!$B$7,AV14*(1+$C$11),0)</f>
        <v>0</v>
      </c>
      <c r="BI14" s="24">
        <f>IF(COLUMN()-2&lt;=Controls!$B$7,AW14*(1+$C$11),0)</f>
        <v>0</v>
      </c>
      <c r="BJ14" s="24">
        <f>IF(COLUMN()-2&lt;=Controls!$B$7,AX14*(1+$C$11),0)</f>
        <v>0</v>
      </c>
      <c r="BK14" s="24">
        <f>SUMPRODUCT((YEAR(EDATE(Controls!$B$6,COLUMN($C$1:$BJ$1)-COLUMN($C$1)))=YEAR(Controls!$B$6)+0)*(COLUMN($C$1:$BJ$1)-COLUMN($C$1)&lt;Controls!$B$7)*$C$14:$BJ$14)</f>
        <v>24000</v>
      </c>
      <c r="BL14" s="24">
        <f>SUMPRODUCT((YEAR(EDATE(Controls!$B$6,COLUMN($C$1:$BJ$1)-COLUMN($C$1)))=YEAR(Controls!$B$6)+1)*(COLUMN($C$1:$BJ$1)-COLUMN($C$1)&lt;Controls!$B$7)*$C$14:$BJ$14)</f>
        <v>32400</v>
      </c>
      <c r="BM14" s="24">
        <f>SUMPRODUCT((YEAR(EDATE(Controls!$B$6,COLUMN($C$1:$BJ$1)-COLUMN($C$1)))=YEAR(Controls!$B$6)+2)*(COLUMN($C$1:$BJ$1)-COLUMN($C$1)&lt;Controls!$B$7)*$C$14:$BJ$14)</f>
        <v>43740.000000000007</v>
      </c>
      <c r="BN14" s="24">
        <f>SUMPRODUCT((YEAR(EDATE(Controls!$B$6,COLUMN($C$1:$BJ$1)-COLUMN($C$1)))=YEAR(Controls!$B$6)+3)*(COLUMN($C$1:$BJ$1)-COLUMN($C$1)&lt;Controls!$B$7)*$C$14:$BJ$14)</f>
        <v>0</v>
      </c>
      <c r="BO14" s="24">
        <f>SUMPRODUCT((YEAR(EDATE(Controls!$B$6,COLUMN($C$1:$BJ$1)-COLUMN($C$1)))=YEAR(Controls!$B$6)+4)*(COLUMN($C$1:$BJ$1)-COLUMN($C$1)&lt;Controls!$B$7)*$C$14:$BJ$14)</f>
        <v>0</v>
      </c>
      <c r="BP14" s="24">
        <f>SUMPRODUCT((YEAR(EDATE(Controls!$B$6,COLUMN($C$1:$BJ$1)-COLUMN($C$1)))=YEAR(Controls!$B$6)+5)*(COLUMN($C$1:$BJ$1)-COLUMN($C$1)&lt;Controls!$B$7)*$C$14:$BJ$14)</f>
        <v>0</v>
      </c>
    </row>
    <row r="15" spans="1:68" ht="18" customHeight="1" x14ac:dyDescent="0.35">
      <c r="A15" s="54" t="s">
        <v>230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</row>
    <row r="16" spans="1:68" x14ac:dyDescent="0.35">
      <c r="A16" s="15" t="s">
        <v>231</v>
      </c>
      <c r="B16" s="20" t="s">
        <v>201</v>
      </c>
      <c r="C16" s="10">
        <v>0.25</v>
      </c>
      <c r="D16" s="22" t="s">
        <v>222</v>
      </c>
    </row>
    <row r="17" spans="1:68" x14ac:dyDescent="0.35">
      <c r="A17" s="15" t="s">
        <v>232</v>
      </c>
      <c r="B17" s="20" t="s">
        <v>105</v>
      </c>
      <c r="C17" s="13">
        <v>2000</v>
      </c>
      <c r="D17" s="13">
        <v>2000</v>
      </c>
      <c r="E17" s="13">
        <v>2000</v>
      </c>
      <c r="F17" s="13">
        <v>2000</v>
      </c>
      <c r="G17" s="13">
        <v>2000</v>
      </c>
      <c r="H17" s="13">
        <v>2000</v>
      </c>
      <c r="I17" s="13">
        <v>2000</v>
      </c>
      <c r="J17" s="13">
        <v>2000</v>
      </c>
      <c r="K17" s="13">
        <v>2000</v>
      </c>
      <c r="L17" s="13">
        <v>2000</v>
      </c>
      <c r="M17" s="13">
        <v>2000</v>
      </c>
      <c r="N17" s="13">
        <v>2000</v>
      </c>
      <c r="O17" s="24">
        <f>IF(COLUMN()-2&lt;=Controls!$B$7,C17*(1+$C$16),0)</f>
        <v>2500</v>
      </c>
      <c r="P17" s="24">
        <f>IF(COLUMN()-2&lt;=Controls!$B$7,D17*(1+$C$16),0)</f>
        <v>2500</v>
      </c>
      <c r="Q17" s="24">
        <f>IF(COLUMN()-2&lt;=Controls!$B$7,E17*(1+$C$16),0)</f>
        <v>2500</v>
      </c>
      <c r="R17" s="24">
        <f>IF(COLUMN()-2&lt;=Controls!$B$7,F17*(1+$C$16),0)</f>
        <v>2500</v>
      </c>
      <c r="S17" s="24">
        <f>IF(COLUMN()-2&lt;=Controls!$B$7,G17*(1+$C$16),0)</f>
        <v>2500</v>
      </c>
      <c r="T17" s="24">
        <f>IF(COLUMN()-2&lt;=Controls!$B$7,H17*(1+$C$16),0)</f>
        <v>2500</v>
      </c>
      <c r="U17" s="24">
        <f>IF(COLUMN()-2&lt;=Controls!$B$7,I17*(1+$C$16),0)</f>
        <v>2500</v>
      </c>
      <c r="V17" s="24">
        <f>IF(COLUMN()-2&lt;=Controls!$B$7,J17*(1+$C$16),0)</f>
        <v>2500</v>
      </c>
      <c r="W17" s="24">
        <f>IF(COLUMN()-2&lt;=Controls!$B$7,K17*(1+$C$16),0)</f>
        <v>2500</v>
      </c>
      <c r="X17" s="24">
        <f>IF(COLUMN()-2&lt;=Controls!$B$7,L17*(1+$C$16),0)</f>
        <v>2500</v>
      </c>
      <c r="Y17" s="24">
        <f>IF(COLUMN()-2&lt;=Controls!$B$7,M17*(1+$C$16),0)</f>
        <v>2500</v>
      </c>
      <c r="Z17" s="24">
        <f>IF(COLUMN()-2&lt;=Controls!$B$7,N17*(1+$C$16),0)</f>
        <v>2500</v>
      </c>
      <c r="AA17" s="24">
        <f>IF(COLUMN()-2&lt;=Controls!$B$7,O17*(1+$C$16),0)</f>
        <v>3125</v>
      </c>
      <c r="AB17" s="24">
        <f>IF(COLUMN()-2&lt;=Controls!$B$7,P17*(1+$C$16),0)</f>
        <v>3125</v>
      </c>
      <c r="AC17" s="24">
        <f>IF(COLUMN()-2&lt;=Controls!$B$7,Q17*(1+$C$16),0)</f>
        <v>3125</v>
      </c>
      <c r="AD17" s="24">
        <f>IF(COLUMN()-2&lt;=Controls!$B$7,R17*(1+$C$16),0)</f>
        <v>3125</v>
      </c>
      <c r="AE17" s="24">
        <f>IF(COLUMN()-2&lt;=Controls!$B$7,S17*(1+$C$16),0)</f>
        <v>3125</v>
      </c>
      <c r="AF17" s="24">
        <f>IF(COLUMN()-2&lt;=Controls!$B$7,T17*(1+$C$16),0)</f>
        <v>3125</v>
      </c>
      <c r="AG17" s="24">
        <f>IF(COLUMN()-2&lt;=Controls!$B$7,U17*(1+$C$16),0)</f>
        <v>3125</v>
      </c>
      <c r="AH17" s="24">
        <f>IF(COLUMN()-2&lt;=Controls!$B$7,V17*(1+$C$16),0)</f>
        <v>3125</v>
      </c>
      <c r="AI17" s="24">
        <f>IF(COLUMN()-2&lt;=Controls!$B$7,W17*(1+$C$16),0)</f>
        <v>3125</v>
      </c>
      <c r="AJ17" s="24">
        <f>IF(COLUMN()-2&lt;=Controls!$B$7,X17*(1+$C$16),0)</f>
        <v>3125</v>
      </c>
      <c r="AK17" s="24">
        <f>IF(COLUMN()-2&lt;=Controls!$B$7,Y17*(1+$C$16),0)</f>
        <v>3125</v>
      </c>
      <c r="AL17" s="24">
        <f>IF(COLUMN()-2&lt;=Controls!$B$7,Z17*(1+$C$16),0)</f>
        <v>3125</v>
      </c>
      <c r="AM17" s="24">
        <f>IF(COLUMN()-2&lt;=Controls!$B$7,AA17*(1+$C$16),0)</f>
        <v>0</v>
      </c>
      <c r="AN17" s="24">
        <f>IF(COLUMN()-2&lt;=Controls!$B$7,AB17*(1+$C$16),0)</f>
        <v>0</v>
      </c>
      <c r="AO17" s="24">
        <f>IF(COLUMN()-2&lt;=Controls!$B$7,AC17*(1+$C$16),0)</f>
        <v>0</v>
      </c>
      <c r="AP17" s="24">
        <f>IF(COLUMN()-2&lt;=Controls!$B$7,AD17*(1+$C$16),0)</f>
        <v>0</v>
      </c>
      <c r="AQ17" s="24">
        <f>IF(COLUMN()-2&lt;=Controls!$B$7,AE17*(1+$C$16),0)</f>
        <v>0</v>
      </c>
      <c r="AR17" s="24">
        <f>IF(COLUMN()-2&lt;=Controls!$B$7,AF17*(1+$C$16),0)</f>
        <v>0</v>
      </c>
      <c r="AS17" s="24">
        <f>IF(COLUMN()-2&lt;=Controls!$B$7,AG17*(1+$C$16),0)</f>
        <v>0</v>
      </c>
      <c r="AT17" s="24">
        <f>IF(COLUMN()-2&lt;=Controls!$B$7,AH17*(1+$C$16),0)</f>
        <v>0</v>
      </c>
      <c r="AU17" s="24">
        <f>IF(COLUMN()-2&lt;=Controls!$B$7,AI17*(1+$C$16),0)</f>
        <v>0</v>
      </c>
      <c r="AV17" s="24">
        <f>IF(COLUMN()-2&lt;=Controls!$B$7,AJ17*(1+$C$16),0)</f>
        <v>0</v>
      </c>
      <c r="AW17" s="24">
        <f>IF(COLUMN()-2&lt;=Controls!$B$7,AK17*(1+$C$16),0)</f>
        <v>0</v>
      </c>
      <c r="AX17" s="24">
        <f>IF(COLUMN()-2&lt;=Controls!$B$7,AL17*(1+$C$16),0)</f>
        <v>0</v>
      </c>
      <c r="AY17" s="24">
        <f>IF(COLUMN()-2&lt;=Controls!$B$7,AM17*(1+$C$16),0)</f>
        <v>0</v>
      </c>
      <c r="AZ17" s="24">
        <f>IF(COLUMN()-2&lt;=Controls!$B$7,AN17*(1+$C$16),0)</f>
        <v>0</v>
      </c>
      <c r="BA17" s="24">
        <f>IF(COLUMN()-2&lt;=Controls!$B$7,AO17*(1+$C$16),0)</f>
        <v>0</v>
      </c>
      <c r="BB17" s="24">
        <f>IF(COLUMN()-2&lt;=Controls!$B$7,AP17*(1+$C$16),0)</f>
        <v>0</v>
      </c>
      <c r="BC17" s="24">
        <f>IF(COLUMN()-2&lt;=Controls!$B$7,AQ17*(1+$C$16),0)</f>
        <v>0</v>
      </c>
      <c r="BD17" s="24">
        <f>IF(COLUMN()-2&lt;=Controls!$B$7,AR17*(1+$C$16),0)</f>
        <v>0</v>
      </c>
      <c r="BE17" s="24">
        <f>IF(COLUMN()-2&lt;=Controls!$B$7,AS17*(1+$C$16),0)</f>
        <v>0</v>
      </c>
      <c r="BF17" s="24">
        <f>IF(COLUMN()-2&lt;=Controls!$B$7,AT17*(1+$C$16),0)</f>
        <v>0</v>
      </c>
      <c r="BG17" s="24">
        <f>IF(COLUMN()-2&lt;=Controls!$B$7,AU17*(1+$C$16),0)</f>
        <v>0</v>
      </c>
      <c r="BH17" s="24">
        <f>IF(COLUMN()-2&lt;=Controls!$B$7,AV17*(1+$C$16),0)</f>
        <v>0</v>
      </c>
      <c r="BI17" s="24">
        <f>IF(COLUMN()-2&lt;=Controls!$B$7,AW17*(1+$C$16),0)</f>
        <v>0</v>
      </c>
      <c r="BJ17" s="24">
        <f>IF(COLUMN()-2&lt;=Controls!$B$7,AX17*(1+$C$16),0)</f>
        <v>0</v>
      </c>
      <c r="BK17" s="24">
        <f>SUMPRODUCT((YEAR(EDATE(Controls!$B$6,COLUMN($C$1:$BJ$1)-COLUMN($C$1)))=YEAR(Controls!$B$6)+0)*(COLUMN($C$1:$BJ$1)-COLUMN($C$1)&lt;Controls!$B$7)*$C$17:$BJ$17)</f>
        <v>24000</v>
      </c>
      <c r="BL17" s="24">
        <f>SUMPRODUCT((YEAR(EDATE(Controls!$B$6,COLUMN($C$1:$BJ$1)-COLUMN($C$1)))=YEAR(Controls!$B$6)+1)*(COLUMN($C$1:$BJ$1)-COLUMN($C$1)&lt;Controls!$B$7)*$C$17:$BJ$17)</f>
        <v>30000</v>
      </c>
      <c r="BM17" s="24">
        <f>SUMPRODUCT((YEAR(EDATE(Controls!$B$6,COLUMN($C$1:$BJ$1)-COLUMN($C$1)))=YEAR(Controls!$B$6)+2)*(COLUMN($C$1:$BJ$1)-COLUMN($C$1)&lt;Controls!$B$7)*$C$17:$BJ$17)</f>
        <v>37500</v>
      </c>
      <c r="BN17" s="24">
        <f>SUMPRODUCT((YEAR(EDATE(Controls!$B$6,COLUMN($C$1:$BJ$1)-COLUMN($C$1)))=YEAR(Controls!$B$6)+3)*(COLUMN($C$1:$BJ$1)-COLUMN($C$1)&lt;Controls!$B$7)*$C$17:$BJ$17)</f>
        <v>0</v>
      </c>
      <c r="BO17" s="24">
        <f>SUMPRODUCT((YEAR(EDATE(Controls!$B$6,COLUMN($C$1:$BJ$1)-COLUMN($C$1)))=YEAR(Controls!$B$6)+4)*(COLUMN($C$1:$BJ$1)-COLUMN($C$1)&lt;Controls!$B$7)*$C$17:$BJ$17)</f>
        <v>0</v>
      </c>
      <c r="BP17" s="24">
        <f>SUMPRODUCT((YEAR(EDATE(Controls!$B$6,COLUMN($C$1:$BJ$1)-COLUMN($C$1)))=YEAR(Controls!$B$6)+5)*(COLUMN($C$1:$BJ$1)-COLUMN($C$1)&lt;Controls!$B$7)*$C$17:$BJ$17)</f>
        <v>0</v>
      </c>
    </row>
    <row r="18" spans="1:68" x14ac:dyDescent="0.35">
      <c r="A18" s="15" t="s">
        <v>233</v>
      </c>
      <c r="B18" s="20" t="s">
        <v>105</v>
      </c>
      <c r="C18" s="13">
        <v>1000</v>
      </c>
      <c r="D18" s="13">
        <v>1000</v>
      </c>
      <c r="E18" s="13">
        <v>1000</v>
      </c>
      <c r="F18" s="13">
        <v>1000</v>
      </c>
      <c r="G18" s="13">
        <v>1000</v>
      </c>
      <c r="H18" s="13">
        <v>1000</v>
      </c>
      <c r="I18" s="13">
        <v>1000</v>
      </c>
      <c r="J18" s="13">
        <v>1000</v>
      </c>
      <c r="K18" s="13">
        <v>1000</v>
      </c>
      <c r="L18" s="13">
        <v>1000</v>
      </c>
      <c r="M18" s="13">
        <v>1000</v>
      </c>
      <c r="N18" s="13">
        <v>1000</v>
      </c>
      <c r="O18" s="24">
        <f>IF(COLUMN()-2&lt;=Controls!$B$7,C18*(1+$C$16),0)</f>
        <v>1250</v>
      </c>
      <c r="P18" s="24">
        <f>IF(COLUMN()-2&lt;=Controls!$B$7,D18*(1+$C$16),0)</f>
        <v>1250</v>
      </c>
      <c r="Q18" s="24">
        <f>IF(COLUMN()-2&lt;=Controls!$B$7,E18*(1+$C$16),0)</f>
        <v>1250</v>
      </c>
      <c r="R18" s="24">
        <f>IF(COLUMN()-2&lt;=Controls!$B$7,F18*(1+$C$16),0)</f>
        <v>1250</v>
      </c>
      <c r="S18" s="24">
        <f>IF(COLUMN()-2&lt;=Controls!$B$7,G18*(1+$C$16),0)</f>
        <v>1250</v>
      </c>
      <c r="T18" s="24">
        <f>IF(COLUMN()-2&lt;=Controls!$B$7,H18*(1+$C$16),0)</f>
        <v>1250</v>
      </c>
      <c r="U18" s="24">
        <f>IF(COLUMN()-2&lt;=Controls!$B$7,I18*(1+$C$16),0)</f>
        <v>1250</v>
      </c>
      <c r="V18" s="24">
        <f>IF(COLUMN()-2&lt;=Controls!$B$7,J18*(1+$C$16),0)</f>
        <v>1250</v>
      </c>
      <c r="W18" s="24">
        <f>IF(COLUMN()-2&lt;=Controls!$B$7,K18*(1+$C$16),0)</f>
        <v>1250</v>
      </c>
      <c r="X18" s="24">
        <f>IF(COLUMN()-2&lt;=Controls!$B$7,L18*(1+$C$16),0)</f>
        <v>1250</v>
      </c>
      <c r="Y18" s="24">
        <f>IF(COLUMN()-2&lt;=Controls!$B$7,M18*(1+$C$16),0)</f>
        <v>1250</v>
      </c>
      <c r="Z18" s="24">
        <f>IF(COLUMN()-2&lt;=Controls!$B$7,N18*(1+$C$16),0)</f>
        <v>1250</v>
      </c>
      <c r="AA18" s="24">
        <f>IF(COLUMN()-2&lt;=Controls!$B$7,O18*(1+$C$16),0)</f>
        <v>1562.5</v>
      </c>
      <c r="AB18" s="24">
        <f>IF(COLUMN()-2&lt;=Controls!$B$7,P18*(1+$C$16),0)</f>
        <v>1562.5</v>
      </c>
      <c r="AC18" s="24">
        <f>IF(COLUMN()-2&lt;=Controls!$B$7,Q18*(1+$C$16),0)</f>
        <v>1562.5</v>
      </c>
      <c r="AD18" s="24">
        <f>IF(COLUMN()-2&lt;=Controls!$B$7,R18*(1+$C$16),0)</f>
        <v>1562.5</v>
      </c>
      <c r="AE18" s="24">
        <f>IF(COLUMN()-2&lt;=Controls!$B$7,S18*(1+$C$16),0)</f>
        <v>1562.5</v>
      </c>
      <c r="AF18" s="24">
        <f>IF(COLUMN()-2&lt;=Controls!$B$7,T18*(1+$C$16),0)</f>
        <v>1562.5</v>
      </c>
      <c r="AG18" s="24">
        <f>IF(COLUMN()-2&lt;=Controls!$B$7,U18*(1+$C$16),0)</f>
        <v>1562.5</v>
      </c>
      <c r="AH18" s="24">
        <f>IF(COLUMN()-2&lt;=Controls!$B$7,V18*(1+$C$16),0)</f>
        <v>1562.5</v>
      </c>
      <c r="AI18" s="24">
        <f>IF(COLUMN()-2&lt;=Controls!$B$7,W18*(1+$C$16),0)</f>
        <v>1562.5</v>
      </c>
      <c r="AJ18" s="24">
        <f>IF(COLUMN()-2&lt;=Controls!$B$7,X18*(1+$C$16),0)</f>
        <v>1562.5</v>
      </c>
      <c r="AK18" s="24">
        <f>IF(COLUMN()-2&lt;=Controls!$B$7,Y18*(1+$C$16),0)</f>
        <v>1562.5</v>
      </c>
      <c r="AL18" s="24">
        <f>IF(COLUMN()-2&lt;=Controls!$B$7,Z18*(1+$C$16),0)</f>
        <v>1562.5</v>
      </c>
      <c r="AM18" s="24">
        <f>IF(COLUMN()-2&lt;=Controls!$B$7,AA18*(1+$C$16),0)</f>
        <v>0</v>
      </c>
      <c r="AN18" s="24">
        <f>IF(COLUMN()-2&lt;=Controls!$B$7,AB18*(1+$C$16),0)</f>
        <v>0</v>
      </c>
      <c r="AO18" s="24">
        <f>IF(COLUMN()-2&lt;=Controls!$B$7,AC18*(1+$C$16),0)</f>
        <v>0</v>
      </c>
      <c r="AP18" s="24">
        <f>IF(COLUMN()-2&lt;=Controls!$B$7,AD18*(1+$C$16),0)</f>
        <v>0</v>
      </c>
      <c r="AQ18" s="24">
        <f>IF(COLUMN()-2&lt;=Controls!$B$7,AE18*(1+$C$16),0)</f>
        <v>0</v>
      </c>
      <c r="AR18" s="24">
        <f>IF(COLUMN()-2&lt;=Controls!$B$7,AF18*(1+$C$16),0)</f>
        <v>0</v>
      </c>
      <c r="AS18" s="24">
        <f>IF(COLUMN()-2&lt;=Controls!$B$7,AG18*(1+$C$16),0)</f>
        <v>0</v>
      </c>
      <c r="AT18" s="24">
        <f>IF(COLUMN()-2&lt;=Controls!$B$7,AH18*(1+$C$16),0)</f>
        <v>0</v>
      </c>
      <c r="AU18" s="24">
        <f>IF(COLUMN()-2&lt;=Controls!$B$7,AI18*(1+$C$16),0)</f>
        <v>0</v>
      </c>
      <c r="AV18" s="24">
        <f>IF(COLUMN()-2&lt;=Controls!$B$7,AJ18*(1+$C$16),0)</f>
        <v>0</v>
      </c>
      <c r="AW18" s="24">
        <f>IF(COLUMN()-2&lt;=Controls!$B$7,AK18*(1+$C$16),0)</f>
        <v>0</v>
      </c>
      <c r="AX18" s="24">
        <f>IF(COLUMN()-2&lt;=Controls!$B$7,AL18*(1+$C$16),0)</f>
        <v>0</v>
      </c>
      <c r="AY18" s="24">
        <f>IF(COLUMN()-2&lt;=Controls!$B$7,AM18*(1+$C$16),0)</f>
        <v>0</v>
      </c>
      <c r="AZ18" s="24">
        <f>IF(COLUMN()-2&lt;=Controls!$B$7,AN18*(1+$C$16),0)</f>
        <v>0</v>
      </c>
      <c r="BA18" s="24">
        <f>IF(COLUMN()-2&lt;=Controls!$B$7,AO18*(1+$C$16),0)</f>
        <v>0</v>
      </c>
      <c r="BB18" s="24">
        <f>IF(COLUMN()-2&lt;=Controls!$B$7,AP18*(1+$C$16),0)</f>
        <v>0</v>
      </c>
      <c r="BC18" s="24">
        <f>IF(COLUMN()-2&lt;=Controls!$B$7,AQ18*(1+$C$16),0)</f>
        <v>0</v>
      </c>
      <c r="BD18" s="24">
        <f>IF(COLUMN()-2&lt;=Controls!$B$7,AR18*(1+$C$16),0)</f>
        <v>0</v>
      </c>
      <c r="BE18" s="24">
        <f>IF(COLUMN()-2&lt;=Controls!$B$7,AS18*(1+$C$16),0)</f>
        <v>0</v>
      </c>
      <c r="BF18" s="24">
        <f>IF(COLUMN()-2&lt;=Controls!$B$7,AT18*(1+$C$16),0)</f>
        <v>0</v>
      </c>
      <c r="BG18" s="24">
        <f>IF(COLUMN()-2&lt;=Controls!$B$7,AU18*(1+$C$16),0)</f>
        <v>0</v>
      </c>
      <c r="BH18" s="24">
        <f>IF(COLUMN()-2&lt;=Controls!$B$7,AV18*(1+$C$16),0)</f>
        <v>0</v>
      </c>
      <c r="BI18" s="24">
        <f>IF(COLUMN()-2&lt;=Controls!$B$7,AW18*(1+$C$16),0)</f>
        <v>0</v>
      </c>
      <c r="BJ18" s="24">
        <f>IF(COLUMN()-2&lt;=Controls!$B$7,AX18*(1+$C$16),0)</f>
        <v>0</v>
      </c>
      <c r="BK18" s="24">
        <f>SUMPRODUCT((YEAR(EDATE(Controls!$B$6,COLUMN($C$1:$BJ$1)-COLUMN($C$1)))=YEAR(Controls!$B$6)+0)*(COLUMN($C$1:$BJ$1)-COLUMN($C$1)&lt;Controls!$B$7)*$C$18:$BJ$18)</f>
        <v>12000</v>
      </c>
      <c r="BL18" s="24">
        <f>SUMPRODUCT((YEAR(EDATE(Controls!$B$6,COLUMN($C$1:$BJ$1)-COLUMN($C$1)))=YEAR(Controls!$B$6)+1)*(COLUMN($C$1:$BJ$1)-COLUMN($C$1)&lt;Controls!$B$7)*$C$18:$BJ$18)</f>
        <v>15000</v>
      </c>
      <c r="BM18" s="24">
        <f>SUMPRODUCT((YEAR(EDATE(Controls!$B$6,COLUMN($C$1:$BJ$1)-COLUMN($C$1)))=YEAR(Controls!$B$6)+2)*(COLUMN($C$1:$BJ$1)-COLUMN($C$1)&lt;Controls!$B$7)*$C$18:$BJ$18)</f>
        <v>18750</v>
      </c>
      <c r="BN18" s="24">
        <f>SUMPRODUCT((YEAR(EDATE(Controls!$B$6,COLUMN($C$1:$BJ$1)-COLUMN($C$1)))=YEAR(Controls!$B$6)+3)*(COLUMN($C$1:$BJ$1)-COLUMN($C$1)&lt;Controls!$B$7)*$C$18:$BJ$18)</f>
        <v>0</v>
      </c>
      <c r="BO18" s="24">
        <f>SUMPRODUCT((YEAR(EDATE(Controls!$B$6,COLUMN($C$1:$BJ$1)-COLUMN($C$1)))=YEAR(Controls!$B$6)+4)*(COLUMN($C$1:$BJ$1)-COLUMN($C$1)&lt;Controls!$B$7)*$C$18:$BJ$18)</f>
        <v>0</v>
      </c>
      <c r="BP18" s="24">
        <f>SUMPRODUCT((YEAR(EDATE(Controls!$B$6,COLUMN($C$1:$BJ$1)-COLUMN($C$1)))=YEAR(Controls!$B$6)+5)*(COLUMN($C$1:$BJ$1)-COLUMN($C$1)&lt;Controls!$B$7)*$C$18:$BJ$18)</f>
        <v>0</v>
      </c>
    </row>
    <row r="19" spans="1:68" x14ac:dyDescent="0.35">
      <c r="A19" s="15" t="s">
        <v>234</v>
      </c>
      <c r="B19" s="20" t="s">
        <v>105</v>
      </c>
      <c r="C19" s="13">
        <v>500</v>
      </c>
      <c r="D19" s="13">
        <v>500</v>
      </c>
      <c r="E19" s="13">
        <v>500</v>
      </c>
      <c r="F19" s="13">
        <v>500</v>
      </c>
      <c r="G19" s="13">
        <v>500</v>
      </c>
      <c r="H19" s="13">
        <v>500</v>
      </c>
      <c r="I19" s="13">
        <v>500</v>
      </c>
      <c r="J19" s="13">
        <v>500</v>
      </c>
      <c r="K19" s="13">
        <v>500</v>
      </c>
      <c r="L19" s="13">
        <v>500</v>
      </c>
      <c r="M19" s="13">
        <v>500</v>
      </c>
      <c r="N19" s="13">
        <v>500</v>
      </c>
      <c r="O19" s="24">
        <f>IF(COLUMN()-2&lt;=Controls!$B$7,C19*(1+$C$16),0)</f>
        <v>625</v>
      </c>
      <c r="P19" s="24">
        <f>IF(COLUMN()-2&lt;=Controls!$B$7,D19*(1+$C$16),0)</f>
        <v>625</v>
      </c>
      <c r="Q19" s="24">
        <f>IF(COLUMN()-2&lt;=Controls!$B$7,E19*(1+$C$16),0)</f>
        <v>625</v>
      </c>
      <c r="R19" s="24">
        <f>IF(COLUMN()-2&lt;=Controls!$B$7,F19*(1+$C$16),0)</f>
        <v>625</v>
      </c>
      <c r="S19" s="24">
        <f>IF(COLUMN()-2&lt;=Controls!$B$7,G19*(1+$C$16),0)</f>
        <v>625</v>
      </c>
      <c r="T19" s="24">
        <f>IF(COLUMN()-2&lt;=Controls!$B$7,H19*(1+$C$16),0)</f>
        <v>625</v>
      </c>
      <c r="U19" s="24">
        <f>IF(COLUMN()-2&lt;=Controls!$B$7,I19*(1+$C$16),0)</f>
        <v>625</v>
      </c>
      <c r="V19" s="24">
        <f>IF(COLUMN()-2&lt;=Controls!$B$7,J19*(1+$C$16),0)</f>
        <v>625</v>
      </c>
      <c r="W19" s="24">
        <f>IF(COLUMN()-2&lt;=Controls!$B$7,K19*(1+$C$16),0)</f>
        <v>625</v>
      </c>
      <c r="X19" s="24">
        <f>IF(COLUMN()-2&lt;=Controls!$B$7,L19*(1+$C$16),0)</f>
        <v>625</v>
      </c>
      <c r="Y19" s="24">
        <f>IF(COLUMN()-2&lt;=Controls!$B$7,M19*(1+$C$16),0)</f>
        <v>625</v>
      </c>
      <c r="Z19" s="24">
        <f>IF(COLUMN()-2&lt;=Controls!$B$7,N19*(1+$C$16),0)</f>
        <v>625</v>
      </c>
      <c r="AA19" s="24">
        <f>IF(COLUMN()-2&lt;=Controls!$B$7,O19*(1+$C$16),0)</f>
        <v>781.25</v>
      </c>
      <c r="AB19" s="24">
        <f>IF(COLUMN()-2&lt;=Controls!$B$7,P19*(1+$C$16),0)</f>
        <v>781.25</v>
      </c>
      <c r="AC19" s="24">
        <f>IF(COLUMN()-2&lt;=Controls!$B$7,Q19*(1+$C$16),0)</f>
        <v>781.25</v>
      </c>
      <c r="AD19" s="24">
        <f>IF(COLUMN()-2&lt;=Controls!$B$7,R19*(1+$C$16),0)</f>
        <v>781.25</v>
      </c>
      <c r="AE19" s="24">
        <f>IF(COLUMN()-2&lt;=Controls!$B$7,S19*(1+$C$16),0)</f>
        <v>781.25</v>
      </c>
      <c r="AF19" s="24">
        <f>IF(COLUMN()-2&lt;=Controls!$B$7,T19*(1+$C$16),0)</f>
        <v>781.25</v>
      </c>
      <c r="AG19" s="24">
        <f>IF(COLUMN()-2&lt;=Controls!$B$7,U19*(1+$C$16),0)</f>
        <v>781.25</v>
      </c>
      <c r="AH19" s="24">
        <f>IF(COLUMN()-2&lt;=Controls!$B$7,V19*(1+$C$16),0)</f>
        <v>781.25</v>
      </c>
      <c r="AI19" s="24">
        <f>IF(COLUMN()-2&lt;=Controls!$B$7,W19*(1+$C$16),0)</f>
        <v>781.25</v>
      </c>
      <c r="AJ19" s="24">
        <f>IF(COLUMN()-2&lt;=Controls!$B$7,X19*(1+$C$16),0)</f>
        <v>781.25</v>
      </c>
      <c r="AK19" s="24">
        <f>IF(COLUMN()-2&lt;=Controls!$B$7,Y19*(1+$C$16),0)</f>
        <v>781.25</v>
      </c>
      <c r="AL19" s="24">
        <f>IF(COLUMN()-2&lt;=Controls!$B$7,Z19*(1+$C$16),0)</f>
        <v>781.25</v>
      </c>
      <c r="AM19" s="24">
        <f>IF(COLUMN()-2&lt;=Controls!$B$7,AA19*(1+$C$16),0)</f>
        <v>0</v>
      </c>
      <c r="AN19" s="24">
        <f>IF(COLUMN()-2&lt;=Controls!$B$7,AB19*(1+$C$16),0)</f>
        <v>0</v>
      </c>
      <c r="AO19" s="24">
        <f>IF(COLUMN()-2&lt;=Controls!$B$7,AC19*(1+$C$16),0)</f>
        <v>0</v>
      </c>
      <c r="AP19" s="24">
        <f>IF(COLUMN()-2&lt;=Controls!$B$7,AD19*(1+$C$16),0)</f>
        <v>0</v>
      </c>
      <c r="AQ19" s="24">
        <f>IF(COLUMN()-2&lt;=Controls!$B$7,AE19*(1+$C$16),0)</f>
        <v>0</v>
      </c>
      <c r="AR19" s="24">
        <f>IF(COLUMN()-2&lt;=Controls!$B$7,AF19*(1+$C$16),0)</f>
        <v>0</v>
      </c>
      <c r="AS19" s="24">
        <f>IF(COLUMN()-2&lt;=Controls!$B$7,AG19*(1+$C$16),0)</f>
        <v>0</v>
      </c>
      <c r="AT19" s="24">
        <f>IF(COLUMN()-2&lt;=Controls!$B$7,AH19*(1+$C$16),0)</f>
        <v>0</v>
      </c>
      <c r="AU19" s="24">
        <f>IF(COLUMN()-2&lt;=Controls!$B$7,AI19*(1+$C$16),0)</f>
        <v>0</v>
      </c>
      <c r="AV19" s="24">
        <f>IF(COLUMN()-2&lt;=Controls!$B$7,AJ19*(1+$C$16),0)</f>
        <v>0</v>
      </c>
      <c r="AW19" s="24">
        <f>IF(COLUMN()-2&lt;=Controls!$B$7,AK19*(1+$C$16),0)</f>
        <v>0</v>
      </c>
      <c r="AX19" s="24">
        <f>IF(COLUMN()-2&lt;=Controls!$B$7,AL19*(1+$C$16),0)</f>
        <v>0</v>
      </c>
      <c r="AY19" s="24">
        <f>IF(COLUMN()-2&lt;=Controls!$B$7,AM19*(1+$C$16),0)</f>
        <v>0</v>
      </c>
      <c r="AZ19" s="24">
        <f>IF(COLUMN()-2&lt;=Controls!$B$7,AN19*(1+$C$16),0)</f>
        <v>0</v>
      </c>
      <c r="BA19" s="24">
        <f>IF(COLUMN()-2&lt;=Controls!$B$7,AO19*(1+$C$16),0)</f>
        <v>0</v>
      </c>
      <c r="BB19" s="24">
        <f>IF(COLUMN()-2&lt;=Controls!$B$7,AP19*(1+$C$16),0)</f>
        <v>0</v>
      </c>
      <c r="BC19" s="24">
        <f>IF(COLUMN()-2&lt;=Controls!$B$7,AQ19*(1+$C$16),0)</f>
        <v>0</v>
      </c>
      <c r="BD19" s="24">
        <f>IF(COLUMN()-2&lt;=Controls!$B$7,AR19*(1+$C$16),0)</f>
        <v>0</v>
      </c>
      <c r="BE19" s="24">
        <f>IF(COLUMN()-2&lt;=Controls!$B$7,AS19*(1+$C$16),0)</f>
        <v>0</v>
      </c>
      <c r="BF19" s="24">
        <f>IF(COLUMN()-2&lt;=Controls!$B$7,AT19*(1+$C$16),0)</f>
        <v>0</v>
      </c>
      <c r="BG19" s="24">
        <f>IF(COLUMN()-2&lt;=Controls!$B$7,AU19*(1+$C$16),0)</f>
        <v>0</v>
      </c>
      <c r="BH19" s="24">
        <f>IF(COLUMN()-2&lt;=Controls!$B$7,AV19*(1+$C$16),0)</f>
        <v>0</v>
      </c>
      <c r="BI19" s="24">
        <f>IF(COLUMN()-2&lt;=Controls!$B$7,AW19*(1+$C$16),0)</f>
        <v>0</v>
      </c>
      <c r="BJ19" s="24">
        <f>IF(COLUMN()-2&lt;=Controls!$B$7,AX19*(1+$C$16),0)</f>
        <v>0</v>
      </c>
      <c r="BK19" s="24">
        <f>SUMPRODUCT((YEAR(EDATE(Controls!$B$6,COLUMN($C$1:$BJ$1)-COLUMN($C$1)))=YEAR(Controls!$B$6)+0)*(COLUMN($C$1:$BJ$1)-COLUMN($C$1)&lt;Controls!$B$7)*$C$19:$BJ$19)</f>
        <v>6000</v>
      </c>
      <c r="BL19" s="24">
        <f>SUMPRODUCT((YEAR(EDATE(Controls!$B$6,COLUMN($C$1:$BJ$1)-COLUMN($C$1)))=YEAR(Controls!$B$6)+1)*(COLUMN($C$1:$BJ$1)-COLUMN($C$1)&lt;Controls!$B$7)*$C$19:$BJ$19)</f>
        <v>7500</v>
      </c>
      <c r="BM19" s="24">
        <f>SUMPRODUCT((YEAR(EDATE(Controls!$B$6,COLUMN($C$1:$BJ$1)-COLUMN($C$1)))=YEAR(Controls!$B$6)+2)*(COLUMN($C$1:$BJ$1)-COLUMN($C$1)&lt;Controls!$B$7)*$C$19:$BJ$19)</f>
        <v>9375</v>
      </c>
      <c r="BN19" s="24">
        <f>SUMPRODUCT((YEAR(EDATE(Controls!$B$6,COLUMN($C$1:$BJ$1)-COLUMN($C$1)))=YEAR(Controls!$B$6)+3)*(COLUMN($C$1:$BJ$1)-COLUMN($C$1)&lt;Controls!$B$7)*$C$19:$BJ$19)</f>
        <v>0</v>
      </c>
      <c r="BO19" s="24">
        <f>SUMPRODUCT((YEAR(EDATE(Controls!$B$6,COLUMN($C$1:$BJ$1)-COLUMN($C$1)))=YEAR(Controls!$B$6)+4)*(COLUMN($C$1:$BJ$1)-COLUMN($C$1)&lt;Controls!$B$7)*$C$19:$BJ$19)</f>
        <v>0</v>
      </c>
      <c r="BP19" s="24">
        <f>SUMPRODUCT((YEAR(EDATE(Controls!$B$6,COLUMN($C$1:$BJ$1)-COLUMN($C$1)))=YEAR(Controls!$B$6)+5)*(COLUMN($C$1:$BJ$1)-COLUMN($C$1)&lt;Controls!$B$7)*$C$19:$BJ$19)</f>
        <v>0</v>
      </c>
    </row>
    <row r="20" spans="1:68" ht="18" customHeight="1" x14ac:dyDescent="0.35">
      <c r="A20" s="54" t="s">
        <v>235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</row>
    <row r="21" spans="1:68" x14ac:dyDescent="0.35">
      <c r="A21" s="15" t="s">
        <v>236</v>
      </c>
      <c r="B21" s="20" t="s">
        <v>201</v>
      </c>
      <c r="C21" s="10">
        <v>0.15</v>
      </c>
      <c r="D21" s="22" t="s">
        <v>222</v>
      </c>
    </row>
    <row r="22" spans="1:68" x14ac:dyDescent="0.35">
      <c r="A22" s="15" t="s">
        <v>237</v>
      </c>
      <c r="B22" s="20" t="s">
        <v>105</v>
      </c>
      <c r="C22" s="13">
        <v>2500</v>
      </c>
      <c r="D22" s="13">
        <v>2500</v>
      </c>
      <c r="E22" s="13">
        <v>2500</v>
      </c>
      <c r="F22" s="13">
        <v>2500</v>
      </c>
      <c r="G22" s="13">
        <v>2500</v>
      </c>
      <c r="H22" s="13">
        <v>2500</v>
      </c>
      <c r="I22" s="13">
        <v>2500</v>
      </c>
      <c r="J22" s="13">
        <v>2500</v>
      </c>
      <c r="K22" s="13">
        <v>2500</v>
      </c>
      <c r="L22" s="13">
        <v>2500</v>
      </c>
      <c r="M22" s="13">
        <v>2500</v>
      </c>
      <c r="N22" s="13">
        <v>2500</v>
      </c>
      <c r="O22" s="24">
        <f>IF(COLUMN()-2&lt;=Controls!$B$7,C22*(1+$C$21),0)</f>
        <v>2875</v>
      </c>
      <c r="P22" s="24">
        <f>IF(COLUMN()-2&lt;=Controls!$B$7,D22*(1+$C$21),0)</f>
        <v>2875</v>
      </c>
      <c r="Q22" s="24">
        <f>IF(COLUMN()-2&lt;=Controls!$B$7,E22*(1+$C$21),0)</f>
        <v>2875</v>
      </c>
      <c r="R22" s="24">
        <f>IF(COLUMN()-2&lt;=Controls!$B$7,F22*(1+$C$21),0)</f>
        <v>2875</v>
      </c>
      <c r="S22" s="24">
        <f>IF(COLUMN()-2&lt;=Controls!$B$7,G22*(1+$C$21),0)</f>
        <v>2875</v>
      </c>
      <c r="T22" s="24">
        <f>IF(COLUMN()-2&lt;=Controls!$B$7,H22*(1+$C$21),0)</f>
        <v>2875</v>
      </c>
      <c r="U22" s="24">
        <f>IF(COLUMN()-2&lt;=Controls!$B$7,I22*(1+$C$21),0)</f>
        <v>2875</v>
      </c>
      <c r="V22" s="24">
        <f>IF(COLUMN()-2&lt;=Controls!$B$7,J22*(1+$C$21),0)</f>
        <v>2875</v>
      </c>
      <c r="W22" s="24">
        <f>IF(COLUMN()-2&lt;=Controls!$B$7,K22*(1+$C$21),0)</f>
        <v>2875</v>
      </c>
      <c r="X22" s="24">
        <f>IF(COLUMN()-2&lt;=Controls!$B$7,L22*(1+$C$21),0)</f>
        <v>2875</v>
      </c>
      <c r="Y22" s="24">
        <f>IF(COLUMN()-2&lt;=Controls!$B$7,M22*(1+$C$21),0)</f>
        <v>2875</v>
      </c>
      <c r="Z22" s="24">
        <f>IF(COLUMN()-2&lt;=Controls!$B$7,N22*(1+$C$21),0)</f>
        <v>2875</v>
      </c>
      <c r="AA22" s="24">
        <f>IF(COLUMN()-2&lt;=Controls!$B$7,O22*(1+$C$21),0)</f>
        <v>3306.2499999999995</v>
      </c>
      <c r="AB22" s="24">
        <f>IF(COLUMN()-2&lt;=Controls!$B$7,P22*(1+$C$21),0)</f>
        <v>3306.2499999999995</v>
      </c>
      <c r="AC22" s="24">
        <f>IF(COLUMN()-2&lt;=Controls!$B$7,Q22*(1+$C$21),0)</f>
        <v>3306.2499999999995</v>
      </c>
      <c r="AD22" s="24">
        <f>IF(COLUMN()-2&lt;=Controls!$B$7,R22*(1+$C$21),0)</f>
        <v>3306.2499999999995</v>
      </c>
      <c r="AE22" s="24">
        <f>IF(COLUMN()-2&lt;=Controls!$B$7,S22*(1+$C$21),0)</f>
        <v>3306.2499999999995</v>
      </c>
      <c r="AF22" s="24">
        <f>IF(COLUMN()-2&lt;=Controls!$B$7,T22*(1+$C$21),0)</f>
        <v>3306.2499999999995</v>
      </c>
      <c r="AG22" s="24">
        <f>IF(COLUMN()-2&lt;=Controls!$B$7,U22*(1+$C$21),0)</f>
        <v>3306.2499999999995</v>
      </c>
      <c r="AH22" s="24">
        <f>IF(COLUMN()-2&lt;=Controls!$B$7,V22*(1+$C$21),0)</f>
        <v>3306.2499999999995</v>
      </c>
      <c r="AI22" s="24">
        <f>IF(COLUMN()-2&lt;=Controls!$B$7,W22*(1+$C$21),0)</f>
        <v>3306.2499999999995</v>
      </c>
      <c r="AJ22" s="24">
        <f>IF(COLUMN()-2&lt;=Controls!$B$7,X22*(1+$C$21),0)</f>
        <v>3306.2499999999995</v>
      </c>
      <c r="AK22" s="24">
        <f>IF(COLUMN()-2&lt;=Controls!$B$7,Y22*(1+$C$21),0)</f>
        <v>3306.2499999999995</v>
      </c>
      <c r="AL22" s="24">
        <f>IF(COLUMN()-2&lt;=Controls!$B$7,Z22*(1+$C$21),0)</f>
        <v>3306.2499999999995</v>
      </c>
      <c r="AM22" s="24">
        <f>IF(COLUMN()-2&lt;=Controls!$B$7,AA22*(1+$C$21),0)</f>
        <v>0</v>
      </c>
      <c r="AN22" s="24">
        <f>IF(COLUMN()-2&lt;=Controls!$B$7,AB22*(1+$C$21),0)</f>
        <v>0</v>
      </c>
      <c r="AO22" s="24">
        <f>IF(COLUMN()-2&lt;=Controls!$B$7,AC22*(1+$C$21),0)</f>
        <v>0</v>
      </c>
      <c r="AP22" s="24">
        <f>IF(COLUMN()-2&lt;=Controls!$B$7,AD22*(1+$C$21),0)</f>
        <v>0</v>
      </c>
      <c r="AQ22" s="24">
        <f>IF(COLUMN()-2&lt;=Controls!$B$7,AE22*(1+$C$21),0)</f>
        <v>0</v>
      </c>
      <c r="AR22" s="24">
        <f>IF(COLUMN()-2&lt;=Controls!$B$7,AF22*(1+$C$21),0)</f>
        <v>0</v>
      </c>
      <c r="AS22" s="24">
        <f>IF(COLUMN()-2&lt;=Controls!$B$7,AG22*(1+$C$21),0)</f>
        <v>0</v>
      </c>
      <c r="AT22" s="24">
        <f>IF(COLUMN()-2&lt;=Controls!$B$7,AH22*(1+$C$21),0)</f>
        <v>0</v>
      </c>
      <c r="AU22" s="24">
        <f>IF(COLUMN()-2&lt;=Controls!$B$7,AI22*(1+$C$21),0)</f>
        <v>0</v>
      </c>
      <c r="AV22" s="24">
        <f>IF(COLUMN()-2&lt;=Controls!$B$7,AJ22*(1+$C$21),0)</f>
        <v>0</v>
      </c>
      <c r="AW22" s="24">
        <f>IF(COLUMN()-2&lt;=Controls!$B$7,AK22*(1+$C$21),0)</f>
        <v>0</v>
      </c>
      <c r="AX22" s="24">
        <f>IF(COLUMN()-2&lt;=Controls!$B$7,AL22*(1+$C$21),0)</f>
        <v>0</v>
      </c>
      <c r="AY22" s="24">
        <f>IF(COLUMN()-2&lt;=Controls!$B$7,AM22*(1+$C$21),0)</f>
        <v>0</v>
      </c>
      <c r="AZ22" s="24">
        <f>IF(COLUMN()-2&lt;=Controls!$B$7,AN22*(1+$C$21),0)</f>
        <v>0</v>
      </c>
      <c r="BA22" s="24">
        <f>IF(COLUMN()-2&lt;=Controls!$B$7,AO22*(1+$C$21),0)</f>
        <v>0</v>
      </c>
      <c r="BB22" s="24">
        <f>IF(COLUMN()-2&lt;=Controls!$B$7,AP22*(1+$C$21),0)</f>
        <v>0</v>
      </c>
      <c r="BC22" s="24">
        <f>IF(COLUMN()-2&lt;=Controls!$B$7,AQ22*(1+$C$21),0)</f>
        <v>0</v>
      </c>
      <c r="BD22" s="24">
        <f>IF(COLUMN()-2&lt;=Controls!$B$7,AR22*(1+$C$21),0)</f>
        <v>0</v>
      </c>
      <c r="BE22" s="24">
        <f>IF(COLUMN()-2&lt;=Controls!$B$7,AS22*(1+$C$21),0)</f>
        <v>0</v>
      </c>
      <c r="BF22" s="24">
        <f>IF(COLUMN()-2&lt;=Controls!$B$7,AT22*(1+$C$21),0)</f>
        <v>0</v>
      </c>
      <c r="BG22" s="24">
        <f>IF(COLUMN()-2&lt;=Controls!$B$7,AU22*(1+$C$21),0)</f>
        <v>0</v>
      </c>
      <c r="BH22" s="24">
        <f>IF(COLUMN()-2&lt;=Controls!$B$7,AV22*(1+$C$21),0)</f>
        <v>0</v>
      </c>
      <c r="BI22" s="24">
        <f>IF(COLUMN()-2&lt;=Controls!$B$7,AW22*(1+$C$21),0)</f>
        <v>0</v>
      </c>
      <c r="BJ22" s="24">
        <f>IF(COLUMN()-2&lt;=Controls!$B$7,AX22*(1+$C$21),0)</f>
        <v>0</v>
      </c>
      <c r="BK22" s="24">
        <f>SUMPRODUCT((YEAR(EDATE(Controls!$B$6,COLUMN($C$1:$BJ$1)-COLUMN($C$1)))=YEAR(Controls!$B$6)+0)*(COLUMN($C$1:$BJ$1)-COLUMN($C$1)&lt;Controls!$B$7)*$C$22:$BJ$22)</f>
        <v>30000</v>
      </c>
      <c r="BL22" s="24">
        <f>SUMPRODUCT((YEAR(EDATE(Controls!$B$6,COLUMN($C$1:$BJ$1)-COLUMN($C$1)))=YEAR(Controls!$B$6)+1)*(COLUMN($C$1:$BJ$1)-COLUMN($C$1)&lt;Controls!$B$7)*$C$22:$BJ$22)</f>
        <v>34500</v>
      </c>
      <c r="BM22" s="24">
        <f>SUMPRODUCT((YEAR(EDATE(Controls!$B$6,COLUMN($C$1:$BJ$1)-COLUMN($C$1)))=YEAR(Controls!$B$6)+2)*(COLUMN($C$1:$BJ$1)-COLUMN($C$1)&lt;Controls!$B$7)*$C$22:$BJ$22)</f>
        <v>39674.999999999993</v>
      </c>
      <c r="BN22" s="24">
        <f>SUMPRODUCT((YEAR(EDATE(Controls!$B$6,COLUMN($C$1:$BJ$1)-COLUMN($C$1)))=YEAR(Controls!$B$6)+3)*(COLUMN($C$1:$BJ$1)-COLUMN($C$1)&lt;Controls!$B$7)*$C$22:$BJ$22)</f>
        <v>0</v>
      </c>
      <c r="BO22" s="24">
        <f>SUMPRODUCT((YEAR(EDATE(Controls!$B$6,COLUMN($C$1:$BJ$1)-COLUMN($C$1)))=YEAR(Controls!$B$6)+4)*(COLUMN($C$1:$BJ$1)-COLUMN($C$1)&lt;Controls!$B$7)*$C$22:$BJ$22)</f>
        <v>0</v>
      </c>
      <c r="BP22" s="24">
        <f>SUMPRODUCT((YEAR(EDATE(Controls!$B$6,COLUMN($C$1:$BJ$1)-COLUMN($C$1)))=YEAR(Controls!$B$6)+5)*(COLUMN($C$1:$BJ$1)-COLUMN($C$1)&lt;Controls!$B$7)*$C$22:$BJ$22)</f>
        <v>0</v>
      </c>
    </row>
    <row r="23" spans="1:68" x14ac:dyDescent="0.35">
      <c r="A23" s="15" t="s">
        <v>238</v>
      </c>
      <c r="B23" s="20" t="s">
        <v>105</v>
      </c>
      <c r="C23" s="13">
        <v>1500</v>
      </c>
      <c r="D23" s="13">
        <v>1500</v>
      </c>
      <c r="E23" s="13">
        <v>1500</v>
      </c>
      <c r="F23" s="13">
        <v>1500</v>
      </c>
      <c r="G23" s="13">
        <v>1500</v>
      </c>
      <c r="H23" s="13">
        <v>1500</v>
      </c>
      <c r="I23" s="13">
        <v>1500</v>
      </c>
      <c r="J23" s="13">
        <v>1500</v>
      </c>
      <c r="K23" s="13">
        <v>1500</v>
      </c>
      <c r="L23" s="13">
        <v>1500</v>
      </c>
      <c r="M23" s="13">
        <v>1500</v>
      </c>
      <c r="N23" s="13">
        <v>1500</v>
      </c>
      <c r="O23" s="24">
        <f>IF(COLUMN()-2&lt;=Controls!$B$7,C23*(1+$C$21),0)</f>
        <v>1724.9999999999998</v>
      </c>
      <c r="P23" s="24">
        <f>IF(COLUMN()-2&lt;=Controls!$B$7,D23*(1+$C$21),0)</f>
        <v>1724.9999999999998</v>
      </c>
      <c r="Q23" s="24">
        <f>IF(COLUMN()-2&lt;=Controls!$B$7,E23*(1+$C$21),0)</f>
        <v>1724.9999999999998</v>
      </c>
      <c r="R23" s="24">
        <f>IF(COLUMN()-2&lt;=Controls!$B$7,F23*(1+$C$21),0)</f>
        <v>1724.9999999999998</v>
      </c>
      <c r="S23" s="24">
        <f>IF(COLUMN()-2&lt;=Controls!$B$7,G23*(1+$C$21),0)</f>
        <v>1724.9999999999998</v>
      </c>
      <c r="T23" s="24">
        <f>IF(COLUMN()-2&lt;=Controls!$B$7,H23*(1+$C$21),0)</f>
        <v>1724.9999999999998</v>
      </c>
      <c r="U23" s="24">
        <f>IF(COLUMN()-2&lt;=Controls!$B$7,I23*(1+$C$21),0)</f>
        <v>1724.9999999999998</v>
      </c>
      <c r="V23" s="24">
        <f>IF(COLUMN()-2&lt;=Controls!$B$7,J23*(1+$C$21),0)</f>
        <v>1724.9999999999998</v>
      </c>
      <c r="W23" s="24">
        <f>IF(COLUMN()-2&lt;=Controls!$B$7,K23*(1+$C$21),0)</f>
        <v>1724.9999999999998</v>
      </c>
      <c r="X23" s="24">
        <f>IF(COLUMN()-2&lt;=Controls!$B$7,L23*(1+$C$21),0)</f>
        <v>1724.9999999999998</v>
      </c>
      <c r="Y23" s="24">
        <f>IF(COLUMN()-2&lt;=Controls!$B$7,M23*(1+$C$21),0)</f>
        <v>1724.9999999999998</v>
      </c>
      <c r="Z23" s="24">
        <f>IF(COLUMN()-2&lt;=Controls!$B$7,N23*(1+$C$21),0)</f>
        <v>1724.9999999999998</v>
      </c>
      <c r="AA23" s="24">
        <f>IF(COLUMN()-2&lt;=Controls!$B$7,O23*(1+$C$21),0)</f>
        <v>1983.7499999999995</v>
      </c>
      <c r="AB23" s="24">
        <f>IF(COLUMN()-2&lt;=Controls!$B$7,P23*(1+$C$21),0)</f>
        <v>1983.7499999999995</v>
      </c>
      <c r="AC23" s="24">
        <f>IF(COLUMN()-2&lt;=Controls!$B$7,Q23*(1+$C$21),0)</f>
        <v>1983.7499999999995</v>
      </c>
      <c r="AD23" s="24">
        <f>IF(COLUMN()-2&lt;=Controls!$B$7,R23*(1+$C$21),0)</f>
        <v>1983.7499999999995</v>
      </c>
      <c r="AE23" s="24">
        <f>IF(COLUMN()-2&lt;=Controls!$B$7,S23*(1+$C$21),0)</f>
        <v>1983.7499999999995</v>
      </c>
      <c r="AF23" s="24">
        <f>IF(COLUMN()-2&lt;=Controls!$B$7,T23*(1+$C$21),0)</f>
        <v>1983.7499999999995</v>
      </c>
      <c r="AG23" s="24">
        <f>IF(COLUMN()-2&lt;=Controls!$B$7,U23*(1+$C$21),0)</f>
        <v>1983.7499999999995</v>
      </c>
      <c r="AH23" s="24">
        <f>IF(COLUMN()-2&lt;=Controls!$B$7,V23*(1+$C$21),0)</f>
        <v>1983.7499999999995</v>
      </c>
      <c r="AI23" s="24">
        <f>IF(COLUMN()-2&lt;=Controls!$B$7,W23*(1+$C$21),0)</f>
        <v>1983.7499999999995</v>
      </c>
      <c r="AJ23" s="24">
        <f>IF(COLUMN()-2&lt;=Controls!$B$7,X23*(1+$C$21),0)</f>
        <v>1983.7499999999995</v>
      </c>
      <c r="AK23" s="24">
        <f>IF(COLUMN()-2&lt;=Controls!$B$7,Y23*(1+$C$21),0)</f>
        <v>1983.7499999999995</v>
      </c>
      <c r="AL23" s="24">
        <f>IF(COLUMN()-2&lt;=Controls!$B$7,Z23*(1+$C$21),0)</f>
        <v>1983.7499999999995</v>
      </c>
      <c r="AM23" s="24">
        <f>IF(COLUMN()-2&lt;=Controls!$B$7,AA23*(1+$C$21),0)</f>
        <v>0</v>
      </c>
      <c r="AN23" s="24">
        <f>IF(COLUMN()-2&lt;=Controls!$B$7,AB23*(1+$C$21),0)</f>
        <v>0</v>
      </c>
      <c r="AO23" s="24">
        <f>IF(COLUMN()-2&lt;=Controls!$B$7,AC23*(1+$C$21),0)</f>
        <v>0</v>
      </c>
      <c r="AP23" s="24">
        <f>IF(COLUMN()-2&lt;=Controls!$B$7,AD23*(1+$C$21),0)</f>
        <v>0</v>
      </c>
      <c r="AQ23" s="24">
        <f>IF(COLUMN()-2&lt;=Controls!$B$7,AE23*(1+$C$21),0)</f>
        <v>0</v>
      </c>
      <c r="AR23" s="24">
        <f>IF(COLUMN()-2&lt;=Controls!$B$7,AF23*(1+$C$21),0)</f>
        <v>0</v>
      </c>
      <c r="AS23" s="24">
        <f>IF(COLUMN()-2&lt;=Controls!$B$7,AG23*(1+$C$21),0)</f>
        <v>0</v>
      </c>
      <c r="AT23" s="24">
        <f>IF(COLUMN()-2&lt;=Controls!$B$7,AH23*(1+$C$21),0)</f>
        <v>0</v>
      </c>
      <c r="AU23" s="24">
        <f>IF(COLUMN()-2&lt;=Controls!$B$7,AI23*(1+$C$21),0)</f>
        <v>0</v>
      </c>
      <c r="AV23" s="24">
        <f>IF(COLUMN()-2&lt;=Controls!$B$7,AJ23*(1+$C$21),0)</f>
        <v>0</v>
      </c>
      <c r="AW23" s="24">
        <f>IF(COLUMN()-2&lt;=Controls!$B$7,AK23*(1+$C$21),0)</f>
        <v>0</v>
      </c>
      <c r="AX23" s="24">
        <f>IF(COLUMN()-2&lt;=Controls!$B$7,AL23*(1+$C$21),0)</f>
        <v>0</v>
      </c>
      <c r="AY23" s="24">
        <f>IF(COLUMN()-2&lt;=Controls!$B$7,AM23*(1+$C$21),0)</f>
        <v>0</v>
      </c>
      <c r="AZ23" s="24">
        <f>IF(COLUMN()-2&lt;=Controls!$B$7,AN23*(1+$C$21),0)</f>
        <v>0</v>
      </c>
      <c r="BA23" s="24">
        <f>IF(COLUMN()-2&lt;=Controls!$B$7,AO23*(1+$C$21),0)</f>
        <v>0</v>
      </c>
      <c r="BB23" s="24">
        <f>IF(COLUMN()-2&lt;=Controls!$B$7,AP23*(1+$C$21),0)</f>
        <v>0</v>
      </c>
      <c r="BC23" s="24">
        <f>IF(COLUMN()-2&lt;=Controls!$B$7,AQ23*(1+$C$21),0)</f>
        <v>0</v>
      </c>
      <c r="BD23" s="24">
        <f>IF(COLUMN()-2&lt;=Controls!$B$7,AR23*(1+$C$21),0)</f>
        <v>0</v>
      </c>
      <c r="BE23" s="24">
        <f>IF(COLUMN()-2&lt;=Controls!$B$7,AS23*(1+$C$21),0)</f>
        <v>0</v>
      </c>
      <c r="BF23" s="24">
        <f>IF(COLUMN()-2&lt;=Controls!$B$7,AT23*(1+$C$21),0)</f>
        <v>0</v>
      </c>
      <c r="BG23" s="24">
        <f>IF(COLUMN()-2&lt;=Controls!$B$7,AU23*(1+$C$21),0)</f>
        <v>0</v>
      </c>
      <c r="BH23" s="24">
        <f>IF(COLUMN()-2&lt;=Controls!$B$7,AV23*(1+$C$21),0)</f>
        <v>0</v>
      </c>
      <c r="BI23" s="24">
        <f>IF(COLUMN()-2&lt;=Controls!$B$7,AW23*(1+$C$21),0)</f>
        <v>0</v>
      </c>
      <c r="BJ23" s="24">
        <f>IF(COLUMN()-2&lt;=Controls!$B$7,AX23*(1+$C$21),0)</f>
        <v>0</v>
      </c>
      <c r="BK23" s="24">
        <f>SUMPRODUCT((YEAR(EDATE(Controls!$B$6,COLUMN($C$1:$BJ$1)-COLUMN($C$1)))=YEAR(Controls!$B$6)+0)*(COLUMN($C$1:$BJ$1)-COLUMN($C$1)&lt;Controls!$B$7)*$C$23:$BJ$23)</f>
        <v>18000</v>
      </c>
      <c r="BL23" s="24">
        <f>SUMPRODUCT((YEAR(EDATE(Controls!$B$6,COLUMN($C$1:$BJ$1)-COLUMN($C$1)))=YEAR(Controls!$B$6)+1)*(COLUMN($C$1:$BJ$1)-COLUMN($C$1)&lt;Controls!$B$7)*$C$23:$BJ$23)</f>
        <v>20699.999999999996</v>
      </c>
      <c r="BM23" s="24">
        <f>SUMPRODUCT((YEAR(EDATE(Controls!$B$6,COLUMN($C$1:$BJ$1)-COLUMN($C$1)))=YEAR(Controls!$B$6)+2)*(COLUMN($C$1:$BJ$1)-COLUMN($C$1)&lt;Controls!$B$7)*$C$23:$BJ$23)</f>
        <v>23804.999999999996</v>
      </c>
      <c r="BN23" s="24">
        <f>SUMPRODUCT((YEAR(EDATE(Controls!$B$6,COLUMN($C$1:$BJ$1)-COLUMN($C$1)))=YEAR(Controls!$B$6)+3)*(COLUMN($C$1:$BJ$1)-COLUMN($C$1)&lt;Controls!$B$7)*$C$23:$BJ$23)</f>
        <v>0</v>
      </c>
      <c r="BO23" s="24">
        <f>SUMPRODUCT((YEAR(EDATE(Controls!$B$6,COLUMN($C$1:$BJ$1)-COLUMN($C$1)))=YEAR(Controls!$B$6)+4)*(COLUMN($C$1:$BJ$1)-COLUMN($C$1)&lt;Controls!$B$7)*$C$23:$BJ$23)</f>
        <v>0</v>
      </c>
      <c r="BP23" s="24">
        <f>SUMPRODUCT((YEAR(EDATE(Controls!$B$6,COLUMN($C$1:$BJ$1)-COLUMN($C$1)))=YEAR(Controls!$B$6)+5)*(COLUMN($C$1:$BJ$1)-COLUMN($C$1)&lt;Controls!$B$7)*$C$23:$BJ$23)</f>
        <v>0</v>
      </c>
    </row>
    <row r="24" spans="1:68" x14ac:dyDescent="0.35">
      <c r="A24" s="15" t="s">
        <v>239</v>
      </c>
      <c r="B24" s="20" t="s">
        <v>105</v>
      </c>
      <c r="C24" s="13">
        <v>2000</v>
      </c>
      <c r="D24" s="13">
        <v>2000</v>
      </c>
      <c r="E24" s="13">
        <v>2000</v>
      </c>
      <c r="F24" s="13">
        <v>2000</v>
      </c>
      <c r="G24" s="13">
        <v>2000</v>
      </c>
      <c r="H24" s="13">
        <v>2000</v>
      </c>
      <c r="I24" s="13">
        <v>2000</v>
      </c>
      <c r="J24" s="13">
        <v>2000</v>
      </c>
      <c r="K24" s="13">
        <v>2000</v>
      </c>
      <c r="L24" s="13">
        <v>2000</v>
      </c>
      <c r="M24" s="13">
        <v>2000</v>
      </c>
      <c r="N24" s="13">
        <v>2000</v>
      </c>
      <c r="O24" s="24">
        <f>IF(COLUMN()-2&lt;=Controls!$B$7,C24*(1+$C$21),0)</f>
        <v>2300</v>
      </c>
      <c r="P24" s="24">
        <f>IF(COLUMN()-2&lt;=Controls!$B$7,D24*(1+$C$21),0)</f>
        <v>2300</v>
      </c>
      <c r="Q24" s="24">
        <f>IF(COLUMN()-2&lt;=Controls!$B$7,E24*(1+$C$21),0)</f>
        <v>2300</v>
      </c>
      <c r="R24" s="24">
        <f>IF(COLUMN()-2&lt;=Controls!$B$7,F24*(1+$C$21),0)</f>
        <v>2300</v>
      </c>
      <c r="S24" s="24">
        <f>IF(COLUMN()-2&lt;=Controls!$B$7,G24*(1+$C$21),0)</f>
        <v>2300</v>
      </c>
      <c r="T24" s="24">
        <f>IF(COLUMN()-2&lt;=Controls!$B$7,H24*(1+$C$21),0)</f>
        <v>2300</v>
      </c>
      <c r="U24" s="24">
        <f>IF(COLUMN()-2&lt;=Controls!$B$7,I24*(1+$C$21),0)</f>
        <v>2300</v>
      </c>
      <c r="V24" s="24">
        <f>IF(COLUMN()-2&lt;=Controls!$B$7,J24*(1+$C$21),0)</f>
        <v>2300</v>
      </c>
      <c r="W24" s="24">
        <f>IF(COLUMN()-2&lt;=Controls!$B$7,K24*(1+$C$21),0)</f>
        <v>2300</v>
      </c>
      <c r="X24" s="24">
        <f>IF(COLUMN()-2&lt;=Controls!$B$7,L24*(1+$C$21),0)</f>
        <v>2300</v>
      </c>
      <c r="Y24" s="24">
        <f>IF(COLUMN()-2&lt;=Controls!$B$7,M24*(1+$C$21),0)</f>
        <v>2300</v>
      </c>
      <c r="Z24" s="24">
        <f>IF(COLUMN()-2&lt;=Controls!$B$7,N24*(1+$C$21),0)</f>
        <v>2300</v>
      </c>
      <c r="AA24" s="24">
        <f>IF(COLUMN()-2&lt;=Controls!$B$7,O24*(1+$C$21),0)</f>
        <v>2645</v>
      </c>
      <c r="AB24" s="24">
        <f>IF(COLUMN()-2&lt;=Controls!$B$7,P24*(1+$C$21),0)</f>
        <v>2645</v>
      </c>
      <c r="AC24" s="24">
        <f>IF(COLUMN()-2&lt;=Controls!$B$7,Q24*(1+$C$21),0)</f>
        <v>2645</v>
      </c>
      <c r="AD24" s="24">
        <f>IF(COLUMN()-2&lt;=Controls!$B$7,R24*(1+$C$21),0)</f>
        <v>2645</v>
      </c>
      <c r="AE24" s="24">
        <f>IF(COLUMN()-2&lt;=Controls!$B$7,S24*(1+$C$21),0)</f>
        <v>2645</v>
      </c>
      <c r="AF24" s="24">
        <f>IF(COLUMN()-2&lt;=Controls!$B$7,T24*(1+$C$21),0)</f>
        <v>2645</v>
      </c>
      <c r="AG24" s="24">
        <f>IF(COLUMN()-2&lt;=Controls!$B$7,U24*(1+$C$21),0)</f>
        <v>2645</v>
      </c>
      <c r="AH24" s="24">
        <f>IF(COLUMN()-2&lt;=Controls!$B$7,V24*(1+$C$21),0)</f>
        <v>2645</v>
      </c>
      <c r="AI24" s="24">
        <f>IF(COLUMN()-2&lt;=Controls!$B$7,W24*(1+$C$21),0)</f>
        <v>2645</v>
      </c>
      <c r="AJ24" s="24">
        <f>IF(COLUMN()-2&lt;=Controls!$B$7,X24*(1+$C$21),0)</f>
        <v>2645</v>
      </c>
      <c r="AK24" s="24">
        <f>IF(COLUMN()-2&lt;=Controls!$B$7,Y24*(1+$C$21),0)</f>
        <v>2645</v>
      </c>
      <c r="AL24" s="24">
        <f>IF(COLUMN()-2&lt;=Controls!$B$7,Z24*(1+$C$21),0)</f>
        <v>2645</v>
      </c>
      <c r="AM24" s="24">
        <f>IF(COLUMN()-2&lt;=Controls!$B$7,AA24*(1+$C$21),0)</f>
        <v>0</v>
      </c>
      <c r="AN24" s="24">
        <f>IF(COLUMN()-2&lt;=Controls!$B$7,AB24*(1+$C$21),0)</f>
        <v>0</v>
      </c>
      <c r="AO24" s="24">
        <f>IF(COLUMN()-2&lt;=Controls!$B$7,AC24*(1+$C$21),0)</f>
        <v>0</v>
      </c>
      <c r="AP24" s="24">
        <f>IF(COLUMN()-2&lt;=Controls!$B$7,AD24*(1+$C$21),0)</f>
        <v>0</v>
      </c>
      <c r="AQ24" s="24">
        <f>IF(COLUMN()-2&lt;=Controls!$B$7,AE24*(1+$C$21),0)</f>
        <v>0</v>
      </c>
      <c r="AR24" s="24">
        <f>IF(COLUMN()-2&lt;=Controls!$B$7,AF24*(1+$C$21),0)</f>
        <v>0</v>
      </c>
      <c r="AS24" s="24">
        <f>IF(COLUMN()-2&lt;=Controls!$B$7,AG24*(1+$C$21),0)</f>
        <v>0</v>
      </c>
      <c r="AT24" s="24">
        <f>IF(COLUMN()-2&lt;=Controls!$B$7,AH24*(1+$C$21),0)</f>
        <v>0</v>
      </c>
      <c r="AU24" s="24">
        <f>IF(COLUMN()-2&lt;=Controls!$B$7,AI24*(1+$C$21),0)</f>
        <v>0</v>
      </c>
      <c r="AV24" s="24">
        <f>IF(COLUMN()-2&lt;=Controls!$B$7,AJ24*(1+$C$21),0)</f>
        <v>0</v>
      </c>
      <c r="AW24" s="24">
        <f>IF(COLUMN()-2&lt;=Controls!$B$7,AK24*(1+$C$21),0)</f>
        <v>0</v>
      </c>
      <c r="AX24" s="24">
        <f>IF(COLUMN()-2&lt;=Controls!$B$7,AL24*(1+$C$21),0)</f>
        <v>0</v>
      </c>
      <c r="AY24" s="24">
        <f>IF(COLUMN()-2&lt;=Controls!$B$7,AM24*(1+$C$21),0)</f>
        <v>0</v>
      </c>
      <c r="AZ24" s="24">
        <f>IF(COLUMN()-2&lt;=Controls!$B$7,AN24*(1+$C$21),0)</f>
        <v>0</v>
      </c>
      <c r="BA24" s="24">
        <f>IF(COLUMN()-2&lt;=Controls!$B$7,AO24*(1+$C$21),0)</f>
        <v>0</v>
      </c>
      <c r="BB24" s="24">
        <f>IF(COLUMN()-2&lt;=Controls!$B$7,AP24*(1+$C$21),0)</f>
        <v>0</v>
      </c>
      <c r="BC24" s="24">
        <f>IF(COLUMN()-2&lt;=Controls!$B$7,AQ24*(1+$C$21),0)</f>
        <v>0</v>
      </c>
      <c r="BD24" s="24">
        <f>IF(COLUMN()-2&lt;=Controls!$B$7,AR24*(1+$C$21),0)</f>
        <v>0</v>
      </c>
      <c r="BE24" s="24">
        <f>IF(COLUMN()-2&lt;=Controls!$B$7,AS24*(1+$C$21),0)</f>
        <v>0</v>
      </c>
      <c r="BF24" s="24">
        <f>IF(COLUMN()-2&lt;=Controls!$B$7,AT24*(1+$C$21),0)</f>
        <v>0</v>
      </c>
      <c r="BG24" s="24">
        <f>IF(COLUMN()-2&lt;=Controls!$B$7,AU24*(1+$C$21),0)</f>
        <v>0</v>
      </c>
      <c r="BH24" s="24">
        <f>IF(COLUMN()-2&lt;=Controls!$B$7,AV24*(1+$C$21),0)</f>
        <v>0</v>
      </c>
      <c r="BI24" s="24">
        <f>IF(COLUMN()-2&lt;=Controls!$B$7,AW24*(1+$C$21),0)</f>
        <v>0</v>
      </c>
      <c r="BJ24" s="24">
        <f>IF(COLUMN()-2&lt;=Controls!$B$7,AX24*(1+$C$21),0)</f>
        <v>0</v>
      </c>
      <c r="BK24" s="24">
        <f>SUMPRODUCT((YEAR(EDATE(Controls!$B$6,COLUMN($C$1:$BJ$1)-COLUMN($C$1)))=YEAR(Controls!$B$6)+0)*(COLUMN($C$1:$BJ$1)-COLUMN($C$1)&lt;Controls!$B$7)*$C$24:$BJ$24)</f>
        <v>24000</v>
      </c>
      <c r="BL24" s="24">
        <f>SUMPRODUCT((YEAR(EDATE(Controls!$B$6,COLUMN($C$1:$BJ$1)-COLUMN($C$1)))=YEAR(Controls!$B$6)+1)*(COLUMN($C$1:$BJ$1)-COLUMN($C$1)&lt;Controls!$B$7)*$C$24:$BJ$24)</f>
        <v>27600</v>
      </c>
      <c r="BM24" s="24">
        <f>SUMPRODUCT((YEAR(EDATE(Controls!$B$6,COLUMN($C$1:$BJ$1)-COLUMN($C$1)))=YEAR(Controls!$B$6)+2)*(COLUMN($C$1:$BJ$1)-COLUMN($C$1)&lt;Controls!$B$7)*$C$24:$BJ$24)</f>
        <v>31740</v>
      </c>
      <c r="BN24" s="24">
        <f>SUMPRODUCT((YEAR(EDATE(Controls!$B$6,COLUMN($C$1:$BJ$1)-COLUMN($C$1)))=YEAR(Controls!$B$6)+3)*(COLUMN($C$1:$BJ$1)-COLUMN($C$1)&lt;Controls!$B$7)*$C$24:$BJ$24)</f>
        <v>0</v>
      </c>
      <c r="BO24" s="24">
        <f>SUMPRODUCT((YEAR(EDATE(Controls!$B$6,COLUMN($C$1:$BJ$1)-COLUMN($C$1)))=YEAR(Controls!$B$6)+4)*(COLUMN($C$1:$BJ$1)-COLUMN($C$1)&lt;Controls!$B$7)*$C$24:$BJ$24)</f>
        <v>0</v>
      </c>
      <c r="BP24" s="24">
        <f>SUMPRODUCT((YEAR(EDATE(Controls!$B$6,COLUMN($C$1:$BJ$1)-COLUMN($C$1)))=YEAR(Controls!$B$6)+5)*(COLUMN($C$1:$BJ$1)-COLUMN($C$1)&lt;Controls!$B$7)*$C$24:$BJ$24)</f>
        <v>0</v>
      </c>
    </row>
    <row r="25" spans="1:68" ht="18" customHeight="1" x14ac:dyDescent="0.35">
      <c r="A25" s="54" t="s">
        <v>240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</row>
    <row r="26" spans="1:68" x14ac:dyDescent="0.35">
      <c r="A26" s="15" t="s">
        <v>241</v>
      </c>
      <c r="B26" s="20" t="s">
        <v>105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5000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24">
        <f>SUMPRODUCT((YEAR(EDATE(Controls!$B$6,COLUMN($C$1:$BJ$1)-COLUMN($C$1)))=YEAR(Controls!$B$6)+0)*(COLUMN($C$1:$BJ$1)-COLUMN($C$1)&lt;Controls!$B$7)*$C$26:$BJ$26)</f>
        <v>5000</v>
      </c>
      <c r="BL26" s="24">
        <f>SUMPRODUCT((YEAR(EDATE(Controls!$B$6,COLUMN($C$1:$BJ$1)-COLUMN($C$1)))=YEAR(Controls!$B$6)+1)*(COLUMN($C$1:$BJ$1)-COLUMN($C$1)&lt;Controls!$B$7)*$C$26:$BJ$26)</f>
        <v>0</v>
      </c>
      <c r="BM26" s="24">
        <f>SUMPRODUCT((YEAR(EDATE(Controls!$B$6,COLUMN($C$1:$BJ$1)-COLUMN($C$1)))=YEAR(Controls!$B$6)+2)*(COLUMN($C$1:$BJ$1)-COLUMN($C$1)&lt;Controls!$B$7)*$C$26:$BJ$26)</f>
        <v>0</v>
      </c>
      <c r="BN26" s="24">
        <f>SUMPRODUCT((YEAR(EDATE(Controls!$B$6,COLUMN($C$1:$BJ$1)-COLUMN($C$1)))=YEAR(Controls!$B$6)+3)*(COLUMN($C$1:$BJ$1)-COLUMN($C$1)&lt;Controls!$B$7)*$C$26:$BJ$26)</f>
        <v>0</v>
      </c>
      <c r="BO26" s="24">
        <f>SUMPRODUCT((YEAR(EDATE(Controls!$B$6,COLUMN($C$1:$BJ$1)-COLUMN($C$1)))=YEAR(Controls!$B$6)+4)*(COLUMN($C$1:$BJ$1)-COLUMN($C$1)&lt;Controls!$B$7)*$C$26:$BJ$26)</f>
        <v>0</v>
      </c>
      <c r="BP26" s="24">
        <f>SUMPRODUCT((YEAR(EDATE(Controls!$B$6,COLUMN($C$1:$BJ$1)-COLUMN($C$1)))=YEAR(Controls!$B$6)+5)*(COLUMN($C$1:$BJ$1)-COLUMN($C$1)&lt;Controls!$B$7)*$C$26:$BJ$26)</f>
        <v>0</v>
      </c>
    </row>
    <row r="27" spans="1:68" x14ac:dyDescent="0.35">
      <c r="A27" s="25" t="s">
        <v>242</v>
      </c>
      <c r="B27" s="20" t="s">
        <v>105</v>
      </c>
      <c r="C27" s="24">
        <f>IFERROR(C26/Controls!$B$26/12,0)</f>
        <v>0</v>
      </c>
      <c r="D27" s="24">
        <f>IFERROR(D26/Controls!$B$26/12,0)</f>
        <v>0</v>
      </c>
      <c r="E27" s="24">
        <f>IFERROR(E26/Controls!$B$26/12,0)</f>
        <v>0</v>
      </c>
      <c r="F27" s="24">
        <f>IFERROR(F26/Controls!$B$26/12,0)</f>
        <v>0</v>
      </c>
      <c r="G27" s="24">
        <f>IFERROR(G26/Controls!$B$26/12,0)</f>
        <v>0</v>
      </c>
      <c r="H27" s="24">
        <f>IFERROR(H26/Controls!$B$26/12,0)</f>
        <v>0</v>
      </c>
      <c r="I27" s="24">
        <f>IFERROR(I26/Controls!$B$26/12,0)</f>
        <v>138.88888888888889</v>
      </c>
      <c r="J27" s="24">
        <f>IFERROR(J26/Controls!$B$26/12,0)</f>
        <v>0</v>
      </c>
      <c r="K27" s="24">
        <f>IFERROR(K26/Controls!$B$26/12,0)</f>
        <v>0</v>
      </c>
      <c r="L27" s="24">
        <f>IFERROR(L26/Controls!$B$26/12,0)</f>
        <v>0</v>
      </c>
      <c r="M27" s="24">
        <f>IFERROR(M26/Controls!$B$26/12,0)</f>
        <v>0</v>
      </c>
      <c r="N27" s="24">
        <f>IFERROR(N26/Controls!$B$26/12,0)</f>
        <v>0</v>
      </c>
      <c r="O27" s="24">
        <f>IFERROR(O26/Controls!$B$26/12,0)</f>
        <v>0</v>
      </c>
      <c r="P27" s="24">
        <f>IFERROR(P26/Controls!$B$26/12,0)</f>
        <v>0</v>
      </c>
      <c r="Q27" s="24">
        <f>IFERROR(Q26/Controls!$B$26/12,0)</f>
        <v>0</v>
      </c>
      <c r="R27" s="24">
        <f>IFERROR(R26/Controls!$B$26/12,0)</f>
        <v>0</v>
      </c>
      <c r="S27" s="24">
        <f>IFERROR(S26/Controls!$B$26/12,0)</f>
        <v>0</v>
      </c>
      <c r="T27" s="24">
        <f>IFERROR(T26/Controls!$B$26/12,0)</f>
        <v>0</v>
      </c>
      <c r="U27" s="24">
        <f>IFERROR(U26/Controls!$B$26/12,0)</f>
        <v>0</v>
      </c>
      <c r="V27" s="24">
        <f>IFERROR(V26/Controls!$B$26/12,0)</f>
        <v>0</v>
      </c>
      <c r="W27" s="24">
        <f>IFERROR(W26/Controls!$B$26/12,0)</f>
        <v>0</v>
      </c>
      <c r="X27" s="24">
        <f>IFERROR(X26/Controls!$B$26/12,0)</f>
        <v>0</v>
      </c>
      <c r="Y27" s="24">
        <f>IFERROR(Y26/Controls!$B$26/12,0)</f>
        <v>0</v>
      </c>
      <c r="Z27" s="24">
        <f>IFERROR(Z26/Controls!$B$26/12,0)</f>
        <v>0</v>
      </c>
      <c r="AA27" s="24">
        <f>IFERROR(AA26/Controls!$B$26/12,0)</f>
        <v>0</v>
      </c>
      <c r="AB27" s="24">
        <f>IFERROR(AB26/Controls!$B$26/12,0)</f>
        <v>0</v>
      </c>
      <c r="AC27" s="24">
        <f>IFERROR(AC26/Controls!$B$26/12,0)</f>
        <v>0</v>
      </c>
      <c r="AD27" s="24">
        <f>IFERROR(AD26/Controls!$B$26/12,0)</f>
        <v>0</v>
      </c>
      <c r="AE27" s="24">
        <f>IFERROR(AE26/Controls!$B$26/12,0)</f>
        <v>0</v>
      </c>
      <c r="AF27" s="24">
        <f>IFERROR(AF26/Controls!$B$26/12,0)</f>
        <v>0</v>
      </c>
      <c r="AG27" s="24">
        <f>IFERROR(AG26/Controls!$B$26/12,0)</f>
        <v>0</v>
      </c>
      <c r="AH27" s="24">
        <f>IFERROR(AH26/Controls!$B$26/12,0)</f>
        <v>0</v>
      </c>
      <c r="AI27" s="24">
        <f>IFERROR(AI26/Controls!$B$26/12,0)</f>
        <v>0</v>
      </c>
      <c r="AJ27" s="24">
        <f>IFERROR(AJ26/Controls!$B$26/12,0)</f>
        <v>0</v>
      </c>
      <c r="AK27" s="24">
        <f>IFERROR(AK26/Controls!$B$26/12,0)</f>
        <v>0</v>
      </c>
      <c r="AL27" s="24">
        <f>IFERROR(AL26/Controls!$B$26/12,0)</f>
        <v>0</v>
      </c>
      <c r="AM27" s="24">
        <f>IFERROR(AM26/Controls!$B$26/12,0)</f>
        <v>0</v>
      </c>
      <c r="AN27" s="24">
        <f>IFERROR(AN26/Controls!$B$26/12,0)</f>
        <v>0</v>
      </c>
      <c r="AO27" s="24">
        <f>IFERROR(AO26/Controls!$B$26/12,0)</f>
        <v>0</v>
      </c>
      <c r="AP27" s="24">
        <f>IFERROR(AP26/Controls!$B$26/12,0)</f>
        <v>0</v>
      </c>
      <c r="AQ27" s="24">
        <f>IFERROR(AQ26/Controls!$B$26/12,0)</f>
        <v>0</v>
      </c>
      <c r="AR27" s="24">
        <f>IFERROR(AR26/Controls!$B$26/12,0)</f>
        <v>0</v>
      </c>
      <c r="AS27" s="24">
        <f>IFERROR(AS26/Controls!$B$26/12,0)</f>
        <v>0</v>
      </c>
      <c r="AT27" s="24">
        <f>IFERROR(AT26/Controls!$B$26/12,0)</f>
        <v>0</v>
      </c>
      <c r="AU27" s="24">
        <f>IFERROR(AU26/Controls!$B$26/12,0)</f>
        <v>0</v>
      </c>
      <c r="AV27" s="24">
        <f>IFERROR(AV26/Controls!$B$26/12,0)</f>
        <v>0</v>
      </c>
      <c r="AW27" s="24">
        <f>IFERROR(AW26/Controls!$B$26/12,0)</f>
        <v>0</v>
      </c>
      <c r="AX27" s="24">
        <f>IFERROR(AX26/Controls!$B$26/12,0)</f>
        <v>0</v>
      </c>
      <c r="AY27" s="24">
        <f>IFERROR(AY26/Controls!$B$26/12,0)</f>
        <v>0</v>
      </c>
      <c r="AZ27" s="24">
        <f>IFERROR(AZ26/Controls!$B$26/12,0)</f>
        <v>0</v>
      </c>
      <c r="BA27" s="24">
        <f>IFERROR(BA26/Controls!$B$26/12,0)</f>
        <v>0</v>
      </c>
      <c r="BB27" s="24">
        <f>IFERROR(BB26/Controls!$B$26/12,0)</f>
        <v>0</v>
      </c>
      <c r="BC27" s="24">
        <f>IFERROR(BC26/Controls!$B$26/12,0)</f>
        <v>0</v>
      </c>
      <c r="BD27" s="24">
        <f>IFERROR(BD26/Controls!$B$26/12,0)</f>
        <v>0</v>
      </c>
      <c r="BE27" s="24">
        <f>IFERROR(BE26/Controls!$B$26/12,0)</f>
        <v>0</v>
      </c>
      <c r="BF27" s="24">
        <f>IFERROR(BF26/Controls!$B$26/12,0)</f>
        <v>0</v>
      </c>
      <c r="BG27" s="24">
        <f>IFERROR(BG26/Controls!$B$26/12,0)</f>
        <v>0</v>
      </c>
      <c r="BH27" s="24">
        <f>IFERROR(BH26/Controls!$B$26/12,0)</f>
        <v>0</v>
      </c>
      <c r="BI27" s="24">
        <f>IFERROR(BI26/Controls!$B$26/12,0)</f>
        <v>0</v>
      </c>
      <c r="BJ27" s="24">
        <f>IFERROR(BJ26/Controls!$B$26/12,0)</f>
        <v>0</v>
      </c>
      <c r="BK27" s="24">
        <f>SUMPRODUCT((YEAR(EDATE(Controls!$B$6,COLUMN($C$1:$BJ$1)-COLUMN($C$1)))=YEAR(Controls!$B$6)+0)*(COLUMN($C$1:$BJ$1)-COLUMN($C$1)&lt;Controls!$B$7)*$C$27:$BJ$27)</f>
        <v>138.88888888888889</v>
      </c>
      <c r="BL27" s="24">
        <f>SUMPRODUCT((YEAR(EDATE(Controls!$B$6,COLUMN($C$1:$BJ$1)-COLUMN($C$1)))=YEAR(Controls!$B$6)+1)*(COLUMN($C$1:$BJ$1)-COLUMN($C$1)&lt;Controls!$B$7)*$C$27:$BJ$27)</f>
        <v>0</v>
      </c>
      <c r="BM27" s="24">
        <f>SUMPRODUCT((YEAR(EDATE(Controls!$B$6,COLUMN($C$1:$BJ$1)-COLUMN($C$1)))=YEAR(Controls!$B$6)+2)*(COLUMN($C$1:$BJ$1)-COLUMN($C$1)&lt;Controls!$B$7)*$C$27:$BJ$27)</f>
        <v>0</v>
      </c>
      <c r="BN27" s="24">
        <f>SUMPRODUCT((YEAR(EDATE(Controls!$B$6,COLUMN($C$1:$BJ$1)-COLUMN($C$1)))=YEAR(Controls!$B$6)+3)*(COLUMN($C$1:$BJ$1)-COLUMN($C$1)&lt;Controls!$B$7)*$C$27:$BJ$27)</f>
        <v>0</v>
      </c>
      <c r="BO27" s="24">
        <f>SUMPRODUCT((YEAR(EDATE(Controls!$B$6,COLUMN($C$1:$BJ$1)-COLUMN($C$1)))=YEAR(Controls!$B$6)+4)*(COLUMN($C$1:$BJ$1)-COLUMN($C$1)&lt;Controls!$B$7)*$C$27:$BJ$27)</f>
        <v>0</v>
      </c>
      <c r="BP27" s="24">
        <f>SUMPRODUCT((YEAR(EDATE(Controls!$B$6,COLUMN($C$1:$BJ$1)-COLUMN($C$1)))=YEAR(Controls!$B$6)+5)*(COLUMN($C$1:$BJ$1)-COLUMN($C$1)&lt;Controls!$B$7)*$C$27:$BJ$27)</f>
        <v>0</v>
      </c>
    </row>
  </sheetData>
  <mergeCells count="7">
    <mergeCell ref="A20:BP20"/>
    <mergeCell ref="A25:BP25"/>
    <mergeCell ref="A1:BM1"/>
    <mergeCell ref="A5:BP5"/>
    <mergeCell ref="A6:BP6"/>
    <mergeCell ref="A10:BP10"/>
    <mergeCell ref="A15:BP1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BP5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6" customWidth="1"/>
    <col min="2" max="2" width="12" customWidth="1"/>
    <col min="3" max="62" width="9" customWidth="1"/>
    <col min="63" max="68" width="12" customWidth="1"/>
  </cols>
  <sheetData>
    <row r="1" spans="1:68" ht="27.75" customHeight="1" x14ac:dyDescent="0.35">
      <c r="A1" s="57" t="s">
        <v>243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5" spans="1:68" ht="18" customHeight="1" x14ac:dyDescent="0.35">
      <c r="A5" s="58" t="s">
        <v>244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x14ac:dyDescent="0.35">
      <c r="A6" s="15" t="s">
        <v>245</v>
      </c>
      <c r="B6" s="20" t="s">
        <v>124</v>
      </c>
      <c r="C6" s="29">
        <f>Revenue!C102</f>
        <v>8691.094000000001</v>
      </c>
      <c r="D6" s="29">
        <f>Revenue!D102</f>
        <v>20722.068871999996</v>
      </c>
      <c r="E6" s="29">
        <f>Revenue!E102</f>
        <v>36114.148762071454</v>
      </c>
      <c r="F6" s="29">
        <f>Revenue!F102</f>
        <v>54776.382406465898</v>
      </c>
      <c r="G6" s="29">
        <f>Revenue!G102</f>
        <v>77092.710108120664</v>
      </c>
      <c r="H6" s="29">
        <f>Revenue!H102</f>
        <v>102733.19717235744</v>
      </c>
      <c r="I6" s="29">
        <f>Revenue!I102</f>
        <v>131901.30502761222</v>
      </c>
      <c r="J6" s="29">
        <f>Revenue!J102</f>
        <v>163969.82053103056</v>
      </c>
      <c r="K6" s="29">
        <f>Revenue!K102</f>
        <v>199436.55325874797</v>
      </c>
      <c r="L6" s="29">
        <f>Revenue!L102</f>
        <v>238653.91327953868</v>
      </c>
      <c r="M6" s="29">
        <f>Revenue!M102</f>
        <v>281316.95433024573</v>
      </c>
      <c r="N6" s="29">
        <f>Revenue!N102</f>
        <v>327865.73987247521</v>
      </c>
      <c r="O6" s="29">
        <f>Revenue!O102</f>
        <v>378393.31651972863</v>
      </c>
      <c r="P6" s="29">
        <f>Revenue!P102</f>
        <v>433469.93045525544</v>
      </c>
      <c r="Q6" s="29">
        <f>Revenue!Q102</f>
        <v>492541.87512039015</v>
      </c>
      <c r="R6" s="29">
        <f>Revenue!R102</f>
        <v>556156.68714312278</v>
      </c>
      <c r="S6" s="29">
        <f>Revenue!S102</f>
        <v>624051.87666949269</v>
      </c>
      <c r="T6" s="29">
        <f>Revenue!T102</f>
        <v>696791.59760841471</v>
      </c>
      <c r="U6" s="29">
        <f>Revenue!U102</f>
        <v>774464.7078304264</v>
      </c>
      <c r="V6" s="29">
        <f>Revenue!V102</f>
        <v>858072.30455926107</v>
      </c>
      <c r="W6" s="29">
        <f>Revenue!W102</f>
        <v>947603.32248891832</v>
      </c>
      <c r="X6" s="29">
        <f>Revenue!X102</f>
        <v>1043326.8142273659</v>
      </c>
      <c r="Y6" s="29">
        <f>Revenue!Y102</f>
        <v>1145609.0015974664</v>
      </c>
      <c r="Z6" s="29">
        <f>Revenue!Z102</f>
        <v>1254641.6345430422</v>
      </c>
      <c r="AA6" s="29">
        <f>Revenue!AA102</f>
        <v>1371161.5832777654</v>
      </c>
      <c r="AB6" s="29">
        <f>Revenue!AB102</f>
        <v>1495878.6232989146</v>
      </c>
      <c r="AC6" s="29">
        <f>Revenue!AC102</f>
        <v>1629436.522178083</v>
      </c>
      <c r="AD6" s="29">
        <f>Revenue!AD102</f>
        <v>1771838.8569839713</v>
      </c>
      <c r="AE6" s="29">
        <f>Revenue!AE102</f>
        <v>1923913.3669403121</v>
      </c>
      <c r="AF6" s="29">
        <f>Revenue!AF102</f>
        <v>2086194.851666844</v>
      </c>
      <c r="AG6" s="29">
        <f>Revenue!AG102</f>
        <v>2259433.6279414869</v>
      </c>
      <c r="AH6" s="29">
        <f>Revenue!AH102</f>
        <v>2444278.0524371788</v>
      </c>
      <c r="AI6" s="29">
        <f>Revenue!AI102</f>
        <v>2641736.2041655108</v>
      </c>
      <c r="AJ6" s="29">
        <f>Revenue!AJ102</f>
        <v>2852159.8575726794</v>
      </c>
      <c r="AK6" s="29">
        <f>Revenue!AK102</f>
        <v>3076802.1782884719</v>
      </c>
      <c r="AL6" s="29">
        <f>Revenue!AL102</f>
        <v>3316559.6664510225</v>
      </c>
      <c r="AM6" s="29">
        <f>Revenue!AM102</f>
        <v>3500071.6630960428</v>
      </c>
      <c r="AN6" s="29">
        <f>Revenue!AN102</f>
        <v>3666535.5330592259</v>
      </c>
      <c r="AO6" s="29">
        <f>Revenue!AO102</f>
        <v>3817673.4910863386</v>
      </c>
      <c r="AP6" s="29">
        <f>Revenue!AP102</f>
        <v>3954819.7794411299</v>
      </c>
      <c r="AQ6" s="29">
        <f>Revenue!AQ102</f>
        <v>4079405.135530008</v>
      </c>
      <c r="AR6" s="29">
        <f>Revenue!AR102</f>
        <v>4192732.1988750161</v>
      </c>
      <c r="AS6" s="29">
        <f>Revenue!AS102</f>
        <v>4295951.7380593158</v>
      </c>
      <c r="AT6" s="29">
        <f>Revenue!AT102</f>
        <v>4389962.0415988797</v>
      </c>
      <c r="AU6" s="29">
        <f>Revenue!AU102</f>
        <v>4475762.995195399</v>
      </c>
      <c r="AV6" s="29">
        <f>Revenue!AV102</f>
        <v>4554265.5980114425</v>
      </c>
      <c r="AW6" s="29">
        <f>Revenue!AW102</f>
        <v>4626565.6254881136</v>
      </c>
      <c r="AX6" s="29">
        <f>Revenue!AX102</f>
        <v>4693280.2781079113</v>
      </c>
      <c r="AY6" s="29">
        <f>Revenue!AY102</f>
        <v>4755090.1540519875</v>
      </c>
      <c r="AZ6" s="29">
        <f>Revenue!AZ102</f>
        <v>4812382.6851642868</v>
      </c>
      <c r="BA6" s="29">
        <f>Revenue!BA102</f>
        <v>4865776.9880150519</v>
      </c>
      <c r="BB6" s="29">
        <f>Revenue!BB102</f>
        <v>4915605.4826709302</v>
      </c>
      <c r="BC6" s="29">
        <f>Revenue!BC102</f>
        <v>4962402.7258979427</v>
      </c>
      <c r="BD6" s="29">
        <f>Revenue!BD102</f>
        <v>5006424.2890248159</v>
      </c>
      <c r="BE6" s="29">
        <f>Revenue!BE102</f>
        <v>5048134.8904617941</v>
      </c>
      <c r="BF6" s="29">
        <f>Revenue!BF102</f>
        <v>5087875.6365829669</v>
      </c>
      <c r="BG6" s="29">
        <f>Revenue!BG102</f>
        <v>5125759.9171760976</v>
      </c>
      <c r="BH6" s="29">
        <f>Revenue!BH102</f>
        <v>5162206.7347302185</v>
      </c>
      <c r="BI6" s="29">
        <f>Revenue!BI102</f>
        <v>5197332.102833746</v>
      </c>
      <c r="BJ6" s="29">
        <f>Revenue!BJ102</f>
        <v>5231473.9342789939</v>
      </c>
      <c r="BK6" s="24">
        <f>SUMPRODUCT((YEAR(EDATE(Controls!$B$6,COLUMN($C$1:$BJ$1)-COLUMN($C$1)))=YEAR(Controls!$B$6)+0)*(COLUMN($C$1:$BJ$1)-COLUMN($C$1)&lt;Controls!$B$7)*$C$6:$BJ$6)</f>
        <v>1643273.8876206658</v>
      </c>
      <c r="BL6" s="24">
        <f>SUMPRODUCT((YEAR(EDATE(Controls!$B$6,COLUMN($C$1:$BJ$1)-COLUMN($C$1)))=YEAR(Controls!$B$6)+1)*(COLUMN($C$1:$BJ$1)-COLUMN($C$1)&lt;Controls!$B$7)*$C$6:$BJ$6)</f>
        <v>9205123.0687628835</v>
      </c>
      <c r="BM6" s="24">
        <f>SUMPRODUCT((YEAR(EDATE(Controls!$B$6,COLUMN($C$1:$BJ$1)-COLUMN($C$1)))=YEAR(Controls!$B$6)+2)*(COLUMN($C$1:$BJ$1)-COLUMN($C$1)&lt;Controls!$B$7)*$C$6:$BJ$6)</f>
        <v>26869393.391202237</v>
      </c>
      <c r="BN6" s="24">
        <f>SUMPRODUCT((YEAR(EDATE(Controls!$B$6,COLUMN($C$1:$BJ$1)-COLUMN($C$1)))=YEAR(Controls!$B$6)+3)*(COLUMN($C$1:$BJ$1)-COLUMN($C$1)&lt;Controls!$B$7)*$C$6:$BJ$6)</f>
        <v>0</v>
      </c>
      <c r="BO6" s="24">
        <f>SUMPRODUCT((YEAR(EDATE(Controls!$B$6,COLUMN($C$1:$BJ$1)-COLUMN($C$1)))=YEAR(Controls!$B$6)+4)*(COLUMN($C$1:$BJ$1)-COLUMN($C$1)&lt;Controls!$B$7)*$C$6:$BJ$6)</f>
        <v>0</v>
      </c>
      <c r="BP6" s="24">
        <f>SUMPRODUCT((YEAR(EDATE(Controls!$B$6,COLUMN($C$1:$BJ$1)-COLUMN($C$1)))=YEAR(Controls!$B$6)+5)*(COLUMN($C$1:$BJ$1)-COLUMN($C$1)&lt;Controls!$B$7)*$C$6:$BJ$6)</f>
        <v>0</v>
      </c>
    </row>
    <row r="7" spans="1:68" x14ac:dyDescent="0.35">
      <c r="A7" s="15" t="s">
        <v>246</v>
      </c>
      <c r="B7" s="20" t="s">
        <v>124</v>
      </c>
      <c r="C7" s="29">
        <f>Revenue!C104</f>
        <v>5000</v>
      </c>
      <c r="D7" s="29">
        <f>Revenue!D104</f>
        <v>5500</v>
      </c>
      <c r="E7" s="29">
        <f>Revenue!E104</f>
        <v>6000</v>
      </c>
      <c r="F7" s="29">
        <f>Revenue!F104</f>
        <v>6500</v>
      </c>
      <c r="G7" s="29">
        <f>Revenue!G104</f>
        <v>7000</v>
      </c>
      <c r="H7" s="29">
        <f>Revenue!H104</f>
        <v>7500</v>
      </c>
      <c r="I7" s="29">
        <f>Revenue!I104</f>
        <v>8000</v>
      </c>
      <c r="J7" s="29">
        <f>Revenue!J104</f>
        <v>8500</v>
      </c>
      <c r="K7" s="29">
        <f>Revenue!K104</f>
        <v>9000</v>
      </c>
      <c r="L7" s="29">
        <f>Revenue!L104</f>
        <v>9500</v>
      </c>
      <c r="M7" s="29">
        <f>Revenue!M104</f>
        <v>10000</v>
      </c>
      <c r="N7" s="29">
        <f>Revenue!N104</f>
        <v>10000</v>
      </c>
      <c r="O7" s="29">
        <f>Revenue!O104</f>
        <v>10000</v>
      </c>
      <c r="P7" s="29">
        <f>Revenue!P104</f>
        <v>11000</v>
      </c>
      <c r="Q7" s="29">
        <f>Revenue!Q104</f>
        <v>11000</v>
      </c>
      <c r="R7" s="29">
        <f>Revenue!R104</f>
        <v>12000</v>
      </c>
      <c r="S7" s="29">
        <f>Revenue!S104</f>
        <v>12000</v>
      </c>
      <c r="T7" s="29">
        <f>Revenue!T104</f>
        <v>12000</v>
      </c>
      <c r="U7" s="29">
        <f>Revenue!U104</f>
        <v>13000</v>
      </c>
      <c r="V7" s="29">
        <f>Revenue!V104</f>
        <v>13000</v>
      </c>
      <c r="W7" s="29">
        <f>Revenue!W104</f>
        <v>14000</v>
      </c>
      <c r="X7" s="29">
        <f>Revenue!X104</f>
        <v>14000</v>
      </c>
      <c r="Y7" s="29">
        <f>Revenue!Y104</f>
        <v>15000</v>
      </c>
      <c r="Z7" s="29">
        <f>Revenue!Z104</f>
        <v>15000</v>
      </c>
      <c r="AA7" s="29">
        <f>Revenue!AA104</f>
        <v>15000</v>
      </c>
      <c r="AB7" s="29">
        <f>Revenue!AB104</f>
        <v>16000</v>
      </c>
      <c r="AC7" s="29">
        <f>Revenue!AC104</f>
        <v>16000</v>
      </c>
      <c r="AD7" s="29">
        <f>Revenue!AD104</f>
        <v>17000</v>
      </c>
      <c r="AE7" s="29">
        <f>Revenue!AE104</f>
        <v>17000</v>
      </c>
      <c r="AF7" s="29">
        <f>Revenue!AF104</f>
        <v>18000</v>
      </c>
      <c r="AG7" s="29">
        <f>Revenue!AG104</f>
        <v>18000</v>
      </c>
      <c r="AH7" s="29">
        <f>Revenue!AH104</f>
        <v>19000</v>
      </c>
      <c r="AI7" s="29">
        <f>Revenue!AI104</f>
        <v>19000</v>
      </c>
      <c r="AJ7" s="29">
        <f>Revenue!AJ104</f>
        <v>20000</v>
      </c>
      <c r="AK7" s="29">
        <f>Revenue!AK104</f>
        <v>20000</v>
      </c>
      <c r="AL7" s="29">
        <f>Revenue!AL104</f>
        <v>20000</v>
      </c>
      <c r="AM7" s="29">
        <f>Revenue!AM104</f>
        <v>20000</v>
      </c>
      <c r="AN7" s="29">
        <f>Revenue!AN104</f>
        <v>21000</v>
      </c>
      <c r="AO7" s="29">
        <f>Revenue!AO104</f>
        <v>21000</v>
      </c>
      <c r="AP7" s="29">
        <f>Revenue!AP104</f>
        <v>22000</v>
      </c>
      <c r="AQ7" s="29">
        <f>Revenue!AQ104</f>
        <v>22000</v>
      </c>
      <c r="AR7" s="29">
        <f>Revenue!AR104</f>
        <v>23000</v>
      </c>
      <c r="AS7" s="29">
        <f>Revenue!AS104</f>
        <v>23000</v>
      </c>
      <c r="AT7" s="29">
        <f>Revenue!AT104</f>
        <v>24000</v>
      </c>
      <c r="AU7" s="29">
        <f>Revenue!AU104</f>
        <v>24000</v>
      </c>
      <c r="AV7" s="29">
        <f>Revenue!AV104</f>
        <v>25000</v>
      </c>
      <c r="AW7" s="29">
        <f>Revenue!AW104</f>
        <v>25000</v>
      </c>
      <c r="AX7" s="29">
        <f>Revenue!AX104</f>
        <v>25000</v>
      </c>
      <c r="AY7" s="29">
        <f>Revenue!AY104</f>
        <v>25000</v>
      </c>
      <c r="AZ7" s="29">
        <f>Revenue!AZ104</f>
        <v>26000</v>
      </c>
      <c r="BA7" s="29">
        <f>Revenue!BA104</f>
        <v>27000</v>
      </c>
      <c r="BB7" s="29">
        <f>Revenue!BB104</f>
        <v>27000</v>
      </c>
      <c r="BC7" s="29">
        <f>Revenue!BC104</f>
        <v>28000</v>
      </c>
      <c r="BD7" s="29">
        <f>Revenue!BD104</f>
        <v>28000</v>
      </c>
      <c r="BE7" s="29">
        <f>Revenue!BE104</f>
        <v>29000</v>
      </c>
      <c r="BF7" s="29">
        <f>Revenue!BF104</f>
        <v>30000</v>
      </c>
      <c r="BG7" s="29">
        <f>Revenue!BG104</f>
        <v>30000</v>
      </c>
      <c r="BH7" s="29">
        <f>Revenue!BH104</f>
        <v>31000</v>
      </c>
      <c r="BI7" s="29">
        <f>Revenue!BI104</f>
        <v>32000</v>
      </c>
      <c r="BJ7" s="29">
        <f>Revenue!BJ104</f>
        <v>32000</v>
      </c>
      <c r="BK7" s="24">
        <f>SUMPRODUCT((YEAR(EDATE(Controls!$B$6,COLUMN($C$1:$BJ$1)-COLUMN($C$1)))=YEAR(Controls!$B$6)+0)*(COLUMN($C$1:$BJ$1)-COLUMN($C$1)&lt;Controls!$B$7)*$C$7:$BJ$7)</f>
        <v>92500</v>
      </c>
      <c r="BL7" s="24">
        <f>SUMPRODUCT((YEAR(EDATE(Controls!$B$6,COLUMN($C$1:$BJ$1)-COLUMN($C$1)))=YEAR(Controls!$B$6)+1)*(COLUMN($C$1:$BJ$1)-COLUMN($C$1)&lt;Controls!$B$7)*$C$7:$BJ$7)</f>
        <v>152000</v>
      </c>
      <c r="BM7" s="24">
        <f>SUMPRODUCT((YEAR(EDATE(Controls!$B$6,COLUMN($C$1:$BJ$1)-COLUMN($C$1)))=YEAR(Controls!$B$6)+2)*(COLUMN($C$1:$BJ$1)-COLUMN($C$1)&lt;Controls!$B$7)*$C$7:$BJ$7)</f>
        <v>215000</v>
      </c>
      <c r="BN7" s="24">
        <f>SUMPRODUCT((YEAR(EDATE(Controls!$B$6,COLUMN($C$1:$BJ$1)-COLUMN($C$1)))=YEAR(Controls!$B$6)+3)*(COLUMN($C$1:$BJ$1)-COLUMN($C$1)&lt;Controls!$B$7)*$C$7:$BJ$7)</f>
        <v>0</v>
      </c>
      <c r="BO7" s="24">
        <f>SUMPRODUCT((YEAR(EDATE(Controls!$B$6,COLUMN($C$1:$BJ$1)-COLUMN($C$1)))=YEAR(Controls!$B$6)+4)*(COLUMN($C$1:$BJ$1)-COLUMN($C$1)&lt;Controls!$B$7)*$C$7:$BJ$7)</f>
        <v>0</v>
      </c>
      <c r="BP7" s="24">
        <f>SUMPRODUCT((YEAR(EDATE(Controls!$B$6,COLUMN($C$1:$BJ$1)-COLUMN($C$1)))=YEAR(Controls!$B$6)+5)*(COLUMN($C$1:$BJ$1)-COLUMN($C$1)&lt;Controls!$B$7)*$C$7:$BJ$7)</f>
        <v>0</v>
      </c>
    </row>
    <row r="8" spans="1:68" x14ac:dyDescent="0.35">
      <c r="A8" s="6" t="s">
        <v>247</v>
      </c>
      <c r="B8" s="20" t="s">
        <v>124</v>
      </c>
      <c r="C8" s="24">
        <f t="shared" ref="C8:AH8" si="0">C6+C7</f>
        <v>13691.094000000001</v>
      </c>
      <c r="D8" s="24">
        <f t="shared" si="0"/>
        <v>26222.068871999996</v>
      </c>
      <c r="E8" s="24">
        <f t="shared" si="0"/>
        <v>42114.148762071454</v>
      </c>
      <c r="F8" s="24">
        <f t="shared" si="0"/>
        <v>61276.382406465898</v>
      </c>
      <c r="G8" s="24">
        <f t="shared" si="0"/>
        <v>84092.710108120664</v>
      </c>
      <c r="H8" s="24">
        <f t="shared" si="0"/>
        <v>110233.19717235744</v>
      </c>
      <c r="I8" s="24">
        <f t="shared" si="0"/>
        <v>139901.30502761222</v>
      </c>
      <c r="J8" s="24">
        <f t="shared" si="0"/>
        <v>172469.82053103056</v>
      </c>
      <c r="K8" s="24">
        <f t="shared" si="0"/>
        <v>208436.55325874797</v>
      </c>
      <c r="L8" s="24">
        <f t="shared" si="0"/>
        <v>248153.91327953868</v>
      </c>
      <c r="M8" s="24">
        <f t="shared" si="0"/>
        <v>291316.95433024573</v>
      </c>
      <c r="N8" s="24">
        <f t="shared" si="0"/>
        <v>337865.73987247521</v>
      </c>
      <c r="O8" s="24">
        <f t="shared" si="0"/>
        <v>388393.31651972863</v>
      </c>
      <c r="P8" s="24">
        <f t="shared" si="0"/>
        <v>444469.93045525544</v>
      </c>
      <c r="Q8" s="24">
        <f t="shared" si="0"/>
        <v>503541.87512039015</v>
      </c>
      <c r="R8" s="24">
        <f t="shared" si="0"/>
        <v>568156.68714312278</v>
      </c>
      <c r="S8" s="24">
        <f t="shared" si="0"/>
        <v>636051.87666949269</v>
      </c>
      <c r="T8" s="24">
        <f t="shared" si="0"/>
        <v>708791.59760841471</v>
      </c>
      <c r="U8" s="24">
        <f t="shared" si="0"/>
        <v>787464.7078304264</v>
      </c>
      <c r="V8" s="24">
        <f t="shared" si="0"/>
        <v>871072.30455926107</v>
      </c>
      <c r="W8" s="24">
        <f t="shared" si="0"/>
        <v>961603.32248891832</v>
      </c>
      <c r="X8" s="24">
        <f t="shared" si="0"/>
        <v>1057326.8142273659</v>
      </c>
      <c r="Y8" s="24">
        <f t="shared" si="0"/>
        <v>1160609.0015974664</v>
      </c>
      <c r="Z8" s="24">
        <f t="shared" si="0"/>
        <v>1269641.6345430422</v>
      </c>
      <c r="AA8" s="24">
        <f t="shared" si="0"/>
        <v>1386161.5832777654</v>
      </c>
      <c r="AB8" s="24">
        <f t="shared" si="0"/>
        <v>1511878.6232989146</v>
      </c>
      <c r="AC8" s="24">
        <f t="shared" si="0"/>
        <v>1645436.522178083</v>
      </c>
      <c r="AD8" s="24">
        <f t="shared" si="0"/>
        <v>1788838.8569839713</v>
      </c>
      <c r="AE8" s="24">
        <f t="shared" si="0"/>
        <v>1940913.3669403121</v>
      </c>
      <c r="AF8" s="24">
        <f t="shared" si="0"/>
        <v>2104194.851666844</v>
      </c>
      <c r="AG8" s="24">
        <f t="shared" si="0"/>
        <v>2277433.6279414869</v>
      </c>
      <c r="AH8" s="24">
        <f t="shared" si="0"/>
        <v>2463278.0524371788</v>
      </c>
      <c r="AI8" s="24">
        <f t="shared" ref="AI8:BJ8" si="1">AI6+AI7</f>
        <v>2660736.2041655108</v>
      </c>
      <c r="AJ8" s="24">
        <f t="shared" si="1"/>
        <v>2872159.8575726794</v>
      </c>
      <c r="AK8" s="24">
        <f t="shared" si="1"/>
        <v>3096802.1782884719</v>
      </c>
      <c r="AL8" s="24">
        <f t="shared" si="1"/>
        <v>3336559.6664510225</v>
      </c>
      <c r="AM8" s="24">
        <f t="shared" si="1"/>
        <v>3520071.6630960428</v>
      </c>
      <c r="AN8" s="24">
        <f t="shared" si="1"/>
        <v>3687535.5330592259</v>
      </c>
      <c r="AO8" s="24">
        <f t="shared" si="1"/>
        <v>3838673.4910863386</v>
      </c>
      <c r="AP8" s="24">
        <f t="shared" si="1"/>
        <v>3976819.7794411299</v>
      </c>
      <c r="AQ8" s="24">
        <f t="shared" si="1"/>
        <v>4101405.135530008</v>
      </c>
      <c r="AR8" s="24">
        <f t="shared" si="1"/>
        <v>4215732.1988750156</v>
      </c>
      <c r="AS8" s="24">
        <f t="shared" si="1"/>
        <v>4318951.7380593158</v>
      </c>
      <c r="AT8" s="24">
        <f t="shared" si="1"/>
        <v>4413962.0415988797</v>
      </c>
      <c r="AU8" s="24">
        <f t="shared" si="1"/>
        <v>4499762.995195399</v>
      </c>
      <c r="AV8" s="24">
        <f t="shared" si="1"/>
        <v>4579265.5980114425</v>
      </c>
      <c r="AW8" s="24">
        <f t="shared" si="1"/>
        <v>4651565.6254881136</v>
      </c>
      <c r="AX8" s="24">
        <f t="shared" si="1"/>
        <v>4718280.2781079113</v>
      </c>
      <c r="AY8" s="24">
        <f t="shared" si="1"/>
        <v>4780090.1540519875</v>
      </c>
      <c r="AZ8" s="24">
        <f t="shared" si="1"/>
        <v>4838382.6851642868</v>
      </c>
      <c r="BA8" s="24">
        <f t="shared" si="1"/>
        <v>4892776.9880150519</v>
      </c>
      <c r="BB8" s="24">
        <f t="shared" si="1"/>
        <v>4942605.4826709302</v>
      </c>
      <c r="BC8" s="24">
        <f t="shared" si="1"/>
        <v>4990402.7258979427</v>
      </c>
      <c r="BD8" s="24">
        <f t="shared" si="1"/>
        <v>5034424.2890248159</v>
      </c>
      <c r="BE8" s="24">
        <f t="shared" si="1"/>
        <v>5077134.8904617941</v>
      </c>
      <c r="BF8" s="24">
        <f t="shared" si="1"/>
        <v>5117875.6365829669</v>
      </c>
      <c r="BG8" s="24">
        <f t="shared" si="1"/>
        <v>5155759.9171760976</v>
      </c>
      <c r="BH8" s="24">
        <f t="shared" si="1"/>
        <v>5193206.7347302185</v>
      </c>
      <c r="BI8" s="24">
        <f t="shared" si="1"/>
        <v>5229332.102833746</v>
      </c>
      <c r="BJ8" s="24">
        <f t="shared" si="1"/>
        <v>5263473.9342789939</v>
      </c>
      <c r="BK8" s="24">
        <f>SUMPRODUCT((YEAR(EDATE(Controls!$B$6,COLUMN($C$1:$BJ$1)-COLUMN($C$1)))=YEAR(Controls!$B$6)+0)*(COLUMN($C$1:$BJ$1)-COLUMN($C$1)&lt;Controls!$B$7)*$C$8:$BJ$8)</f>
        <v>1735773.8876206658</v>
      </c>
      <c r="BL8" s="24">
        <f>SUMPRODUCT((YEAR(EDATE(Controls!$B$6,COLUMN($C$1:$BJ$1)-COLUMN($C$1)))=YEAR(Controls!$B$6)+1)*(COLUMN($C$1:$BJ$1)-COLUMN($C$1)&lt;Controls!$B$7)*$C$8:$BJ$8)</f>
        <v>9357123.0687628835</v>
      </c>
      <c r="BM8" s="24">
        <f>SUMPRODUCT((YEAR(EDATE(Controls!$B$6,COLUMN($C$1:$BJ$1)-COLUMN($C$1)))=YEAR(Controls!$B$6)+2)*(COLUMN($C$1:$BJ$1)-COLUMN($C$1)&lt;Controls!$B$7)*$C$8:$BJ$8)</f>
        <v>27084393.391202237</v>
      </c>
      <c r="BN8" s="24">
        <f>SUMPRODUCT((YEAR(EDATE(Controls!$B$6,COLUMN($C$1:$BJ$1)-COLUMN($C$1)))=YEAR(Controls!$B$6)+3)*(COLUMN($C$1:$BJ$1)-COLUMN($C$1)&lt;Controls!$B$7)*$C$8:$BJ$8)</f>
        <v>0</v>
      </c>
      <c r="BO8" s="24">
        <f>SUMPRODUCT((YEAR(EDATE(Controls!$B$6,COLUMN($C$1:$BJ$1)-COLUMN($C$1)))=YEAR(Controls!$B$6)+4)*(COLUMN($C$1:$BJ$1)-COLUMN($C$1)&lt;Controls!$B$7)*$C$8:$BJ$8)</f>
        <v>0</v>
      </c>
      <c r="BP8" s="24">
        <f>SUMPRODUCT((YEAR(EDATE(Controls!$B$6,COLUMN($C$1:$BJ$1)-COLUMN($C$1)))=YEAR(Controls!$B$6)+5)*(COLUMN($C$1:$BJ$1)-COLUMN($C$1)&lt;Controls!$B$7)*$C$8:$BJ$8)</f>
        <v>0</v>
      </c>
    </row>
    <row r="10" spans="1:68" ht="18" customHeight="1" x14ac:dyDescent="0.35">
      <c r="A10" s="58" t="s">
        <v>248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</row>
    <row r="11" spans="1:68" x14ac:dyDescent="0.35">
      <c r="A11" s="15" t="s">
        <v>249</v>
      </c>
      <c r="B11" s="20" t="s">
        <v>124</v>
      </c>
      <c r="C11" s="29">
        <f>OpEx!C8</f>
        <v>3000</v>
      </c>
      <c r="D11" s="29">
        <f>OpEx!D8</f>
        <v>3000</v>
      </c>
      <c r="E11" s="29">
        <f>OpEx!E8</f>
        <v>3000</v>
      </c>
      <c r="F11" s="29">
        <f>OpEx!F8</f>
        <v>3000</v>
      </c>
      <c r="G11" s="29">
        <f>OpEx!G8</f>
        <v>3000</v>
      </c>
      <c r="H11" s="29">
        <f>OpEx!H8</f>
        <v>3000</v>
      </c>
      <c r="I11" s="29">
        <f>OpEx!I8</f>
        <v>3000</v>
      </c>
      <c r="J11" s="29">
        <f>OpEx!J8</f>
        <v>3000</v>
      </c>
      <c r="K11" s="29">
        <f>OpEx!K8</f>
        <v>3000</v>
      </c>
      <c r="L11" s="29">
        <f>OpEx!L8</f>
        <v>3000</v>
      </c>
      <c r="M11" s="29">
        <f>OpEx!M8</f>
        <v>3000</v>
      </c>
      <c r="N11" s="29">
        <f>OpEx!N8</f>
        <v>3000</v>
      </c>
      <c r="O11" s="29">
        <f>OpEx!O8</f>
        <v>3600</v>
      </c>
      <c r="P11" s="29">
        <f>OpEx!P8</f>
        <v>3600</v>
      </c>
      <c r="Q11" s="29">
        <f>OpEx!Q8</f>
        <v>3600</v>
      </c>
      <c r="R11" s="29">
        <f>OpEx!R8</f>
        <v>3600</v>
      </c>
      <c r="S11" s="29">
        <f>OpEx!S8</f>
        <v>3600</v>
      </c>
      <c r="T11" s="29">
        <f>OpEx!T8</f>
        <v>3600</v>
      </c>
      <c r="U11" s="29">
        <f>OpEx!U8</f>
        <v>3600</v>
      </c>
      <c r="V11" s="29">
        <f>OpEx!V8</f>
        <v>3600</v>
      </c>
      <c r="W11" s="29">
        <f>OpEx!W8</f>
        <v>3600</v>
      </c>
      <c r="X11" s="29">
        <f>OpEx!X8</f>
        <v>3600</v>
      </c>
      <c r="Y11" s="29">
        <f>OpEx!Y8</f>
        <v>3600</v>
      </c>
      <c r="Z11" s="29">
        <f>OpEx!Z8</f>
        <v>3600</v>
      </c>
      <c r="AA11" s="29">
        <f>OpEx!AA8</f>
        <v>4320</v>
      </c>
      <c r="AB11" s="29">
        <f>OpEx!AB8</f>
        <v>4320</v>
      </c>
      <c r="AC11" s="29">
        <f>OpEx!AC8</f>
        <v>4320</v>
      </c>
      <c r="AD11" s="29">
        <f>OpEx!AD8</f>
        <v>4320</v>
      </c>
      <c r="AE11" s="29">
        <f>OpEx!AE8</f>
        <v>4320</v>
      </c>
      <c r="AF11" s="29">
        <f>OpEx!AF8</f>
        <v>4320</v>
      </c>
      <c r="AG11" s="29">
        <f>OpEx!AG8</f>
        <v>4320</v>
      </c>
      <c r="AH11" s="29">
        <f>OpEx!AH8</f>
        <v>4320</v>
      </c>
      <c r="AI11" s="29">
        <f>OpEx!AI8</f>
        <v>4320</v>
      </c>
      <c r="AJ11" s="29">
        <f>OpEx!AJ8</f>
        <v>4320</v>
      </c>
      <c r="AK11" s="29">
        <f>OpEx!AK8</f>
        <v>4320</v>
      </c>
      <c r="AL11" s="29">
        <f>OpEx!AL8</f>
        <v>4320</v>
      </c>
      <c r="AM11" s="29">
        <f>OpEx!AM8</f>
        <v>0</v>
      </c>
      <c r="AN11" s="29">
        <f>OpEx!AN8</f>
        <v>0</v>
      </c>
      <c r="AO11" s="29">
        <f>OpEx!AO8</f>
        <v>0</v>
      </c>
      <c r="AP11" s="29">
        <f>OpEx!AP8</f>
        <v>0</v>
      </c>
      <c r="AQ11" s="29">
        <f>OpEx!AQ8</f>
        <v>0</v>
      </c>
      <c r="AR11" s="29">
        <f>OpEx!AR8</f>
        <v>0</v>
      </c>
      <c r="AS11" s="29">
        <f>OpEx!AS8</f>
        <v>0</v>
      </c>
      <c r="AT11" s="29">
        <f>OpEx!AT8</f>
        <v>0</v>
      </c>
      <c r="AU11" s="29">
        <f>OpEx!AU8</f>
        <v>0</v>
      </c>
      <c r="AV11" s="29">
        <f>OpEx!AV8</f>
        <v>0</v>
      </c>
      <c r="AW11" s="29">
        <f>OpEx!AW8</f>
        <v>0</v>
      </c>
      <c r="AX11" s="29">
        <f>OpEx!AX8</f>
        <v>0</v>
      </c>
      <c r="AY11" s="29">
        <f>OpEx!AY8</f>
        <v>0</v>
      </c>
      <c r="AZ11" s="29">
        <f>OpEx!AZ8</f>
        <v>0</v>
      </c>
      <c r="BA11" s="29">
        <f>OpEx!BA8</f>
        <v>0</v>
      </c>
      <c r="BB11" s="29">
        <f>OpEx!BB8</f>
        <v>0</v>
      </c>
      <c r="BC11" s="29">
        <f>OpEx!BC8</f>
        <v>0</v>
      </c>
      <c r="BD11" s="29">
        <f>OpEx!BD8</f>
        <v>0</v>
      </c>
      <c r="BE11" s="29">
        <f>OpEx!BE8</f>
        <v>0</v>
      </c>
      <c r="BF11" s="29">
        <f>OpEx!BF8</f>
        <v>0</v>
      </c>
      <c r="BG11" s="29">
        <f>OpEx!BG8</f>
        <v>0</v>
      </c>
      <c r="BH11" s="29">
        <f>OpEx!BH8</f>
        <v>0</v>
      </c>
      <c r="BI11" s="29">
        <f>OpEx!BI8</f>
        <v>0</v>
      </c>
      <c r="BJ11" s="29">
        <f>OpEx!BJ8</f>
        <v>0</v>
      </c>
      <c r="BK11" s="24">
        <f>SUMPRODUCT((YEAR(EDATE(Controls!$B$6,COLUMN($C$1:$BJ$1)-COLUMN($C$1)))=YEAR(Controls!$B$6)+0)*(COLUMN($C$1:$BJ$1)-COLUMN($C$1)&lt;Controls!$B$7)*$C$11:$BJ$11)</f>
        <v>36000</v>
      </c>
      <c r="BL11" s="24">
        <f>SUMPRODUCT((YEAR(EDATE(Controls!$B$6,COLUMN($C$1:$BJ$1)-COLUMN($C$1)))=YEAR(Controls!$B$6)+1)*(COLUMN($C$1:$BJ$1)-COLUMN($C$1)&lt;Controls!$B$7)*$C$11:$BJ$11)</f>
        <v>43200</v>
      </c>
      <c r="BM11" s="24">
        <f>SUMPRODUCT((YEAR(EDATE(Controls!$B$6,COLUMN($C$1:$BJ$1)-COLUMN($C$1)))=YEAR(Controls!$B$6)+2)*(COLUMN($C$1:$BJ$1)-COLUMN($C$1)&lt;Controls!$B$7)*$C$11:$BJ$11)</f>
        <v>51840</v>
      </c>
      <c r="BN11" s="24">
        <f>SUMPRODUCT((YEAR(EDATE(Controls!$B$6,COLUMN($C$1:$BJ$1)-COLUMN($C$1)))=YEAR(Controls!$B$6)+3)*(COLUMN($C$1:$BJ$1)-COLUMN($C$1)&lt;Controls!$B$7)*$C$11:$BJ$11)</f>
        <v>0</v>
      </c>
      <c r="BO11" s="24">
        <f>SUMPRODUCT((YEAR(EDATE(Controls!$B$6,COLUMN($C$1:$BJ$1)-COLUMN($C$1)))=YEAR(Controls!$B$6)+4)*(COLUMN($C$1:$BJ$1)-COLUMN($C$1)&lt;Controls!$B$7)*$C$11:$BJ$11)</f>
        <v>0</v>
      </c>
      <c r="BP11" s="24">
        <f>SUMPRODUCT((YEAR(EDATE(Controls!$B$6,COLUMN($C$1:$BJ$1)-COLUMN($C$1)))=YEAR(Controls!$B$6)+5)*(COLUMN($C$1:$BJ$1)-COLUMN($C$1)&lt;Controls!$B$7)*$C$11:$BJ$11)</f>
        <v>0</v>
      </c>
    </row>
    <row r="12" spans="1:68" x14ac:dyDescent="0.35">
      <c r="A12" s="15" t="s">
        <v>250</v>
      </c>
      <c r="B12" s="20" t="s">
        <v>124</v>
      </c>
      <c r="C12" s="29">
        <f>OpEx!C9</f>
        <v>1000</v>
      </c>
      <c r="D12" s="29">
        <f>OpEx!D9</f>
        <v>1000</v>
      </c>
      <c r="E12" s="29">
        <f>OpEx!E9</f>
        <v>1000</v>
      </c>
      <c r="F12" s="29">
        <f>OpEx!F9</f>
        <v>1000</v>
      </c>
      <c r="G12" s="29">
        <f>OpEx!G9</f>
        <v>1000</v>
      </c>
      <c r="H12" s="29">
        <f>OpEx!H9</f>
        <v>1000</v>
      </c>
      <c r="I12" s="29">
        <f>OpEx!I9</f>
        <v>1000</v>
      </c>
      <c r="J12" s="29">
        <f>OpEx!J9</f>
        <v>1000</v>
      </c>
      <c r="K12" s="29">
        <f>OpEx!K9</f>
        <v>1000</v>
      </c>
      <c r="L12" s="29">
        <f>OpEx!L9</f>
        <v>1000</v>
      </c>
      <c r="M12" s="29">
        <f>OpEx!M9</f>
        <v>1000</v>
      </c>
      <c r="N12" s="29">
        <f>OpEx!N9</f>
        <v>1000</v>
      </c>
      <c r="O12" s="29">
        <f>OpEx!O9</f>
        <v>1200</v>
      </c>
      <c r="P12" s="29">
        <f>OpEx!P9</f>
        <v>1200</v>
      </c>
      <c r="Q12" s="29">
        <f>OpEx!Q9</f>
        <v>1200</v>
      </c>
      <c r="R12" s="29">
        <f>OpEx!R9</f>
        <v>1200</v>
      </c>
      <c r="S12" s="29">
        <f>OpEx!S9</f>
        <v>1200</v>
      </c>
      <c r="T12" s="29">
        <f>OpEx!T9</f>
        <v>1200</v>
      </c>
      <c r="U12" s="29">
        <f>OpEx!U9</f>
        <v>1200</v>
      </c>
      <c r="V12" s="29">
        <f>OpEx!V9</f>
        <v>1200</v>
      </c>
      <c r="W12" s="29">
        <f>OpEx!W9</f>
        <v>1200</v>
      </c>
      <c r="X12" s="29">
        <f>OpEx!X9</f>
        <v>1200</v>
      </c>
      <c r="Y12" s="29">
        <f>OpEx!Y9</f>
        <v>1200</v>
      </c>
      <c r="Z12" s="29">
        <f>OpEx!Z9</f>
        <v>1200</v>
      </c>
      <c r="AA12" s="29">
        <f>OpEx!AA9</f>
        <v>1440</v>
      </c>
      <c r="AB12" s="29">
        <f>OpEx!AB9</f>
        <v>1440</v>
      </c>
      <c r="AC12" s="29">
        <f>OpEx!AC9</f>
        <v>1440</v>
      </c>
      <c r="AD12" s="29">
        <f>OpEx!AD9</f>
        <v>1440</v>
      </c>
      <c r="AE12" s="29">
        <f>OpEx!AE9</f>
        <v>1440</v>
      </c>
      <c r="AF12" s="29">
        <f>OpEx!AF9</f>
        <v>1440</v>
      </c>
      <c r="AG12" s="29">
        <f>OpEx!AG9</f>
        <v>1440</v>
      </c>
      <c r="AH12" s="29">
        <f>OpEx!AH9</f>
        <v>1440</v>
      </c>
      <c r="AI12" s="29">
        <f>OpEx!AI9</f>
        <v>1440</v>
      </c>
      <c r="AJ12" s="29">
        <f>OpEx!AJ9</f>
        <v>1440</v>
      </c>
      <c r="AK12" s="29">
        <f>OpEx!AK9</f>
        <v>1440</v>
      </c>
      <c r="AL12" s="29">
        <f>OpEx!AL9</f>
        <v>1440</v>
      </c>
      <c r="AM12" s="29">
        <f>OpEx!AM9</f>
        <v>0</v>
      </c>
      <c r="AN12" s="29">
        <f>OpEx!AN9</f>
        <v>0</v>
      </c>
      <c r="AO12" s="29">
        <f>OpEx!AO9</f>
        <v>0</v>
      </c>
      <c r="AP12" s="29">
        <f>OpEx!AP9</f>
        <v>0</v>
      </c>
      <c r="AQ12" s="29">
        <f>OpEx!AQ9</f>
        <v>0</v>
      </c>
      <c r="AR12" s="29">
        <f>OpEx!AR9</f>
        <v>0</v>
      </c>
      <c r="AS12" s="29">
        <f>OpEx!AS9</f>
        <v>0</v>
      </c>
      <c r="AT12" s="29">
        <f>OpEx!AT9</f>
        <v>0</v>
      </c>
      <c r="AU12" s="29">
        <f>OpEx!AU9</f>
        <v>0</v>
      </c>
      <c r="AV12" s="29">
        <f>OpEx!AV9</f>
        <v>0</v>
      </c>
      <c r="AW12" s="29">
        <f>OpEx!AW9</f>
        <v>0</v>
      </c>
      <c r="AX12" s="29">
        <f>OpEx!AX9</f>
        <v>0</v>
      </c>
      <c r="AY12" s="29">
        <f>OpEx!AY9</f>
        <v>0</v>
      </c>
      <c r="AZ12" s="29">
        <f>OpEx!AZ9</f>
        <v>0</v>
      </c>
      <c r="BA12" s="29">
        <f>OpEx!BA9</f>
        <v>0</v>
      </c>
      <c r="BB12" s="29">
        <f>OpEx!BB9</f>
        <v>0</v>
      </c>
      <c r="BC12" s="29">
        <f>OpEx!BC9</f>
        <v>0</v>
      </c>
      <c r="BD12" s="29">
        <f>OpEx!BD9</f>
        <v>0</v>
      </c>
      <c r="BE12" s="29">
        <f>OpEx!BE9</f>
        <v>0</v>
      </c>
      <c r="BF12" s="29">
        <f>OpEx!BF9</f>
        <v>0</v>
      </c>
      <c r="BG12" s="29">
        <f>OpEx!BG9</f>
        <v>0</v>
      </c>
      <c r="BH12" s="29">
        <f>OpEx!BH9</f>
        <v>0</v>
      </c>
      <c r="BI12" s="29">
        <f>OpEx!BI9</f>
        <v>0</v>
      </c>
      <c r="BJ12" s="29">
        <f>OpEx!BJ9</f>
        <v>0</v>
      </c>
      <c r="BK12" s="24">
        <f>SUMPRODUCT((YEAR(EDATE(Controls!$B$6,COLUMN($C$1:$BJ$1)-COLUMN($C$1)))=YEAR(Controls!$B$6)+0)*(COLUMN($C$1:$BJ$1)-COLUMN($C$1)&lt;Controls!$B$7)*$C$12:$BJ$12)</f>
        <v>12000</v>
      </c>
      <c r="BL12" s="24">
        <f>SUMPRODUCT((YEAR(EDATE(Controls!$B$6,COLUMN($C$1:$BJ$1)-COLUMN($C$1)))=YEAR(Controls!$B$6)+1)*(COLUMN($C$1:$BJ$1)-COLUMN($C$1)&lt;Controls!$B$7)*$C$12:$BJ$12)</f>
        <v>14400</v>
      </c>
      <c r="BM12" s="24">
        <f>SUMPRODUCT((YEAR(EDATE(Controls!$B$6,COLUMN($C$1:$BJ$1)-COLUMN($C$1)))=YEAR(Controls!$B$6)+2)*(COLUMN($C$1:$BJ$1)-COLUMN($C$1)&lt;Controls!$B$7)*$C$12:$BJ$12)</f>
        <v>17280</v>
      </c>
      <c r="BN12" s="24">
        <f>SUMPRODUCT((YEAR(EDATE(Controls!$B$6,COLUMN($C$1:$BJ$1)-COLUMN($C$1)))=YEAR(Controls!$B$6)+3)*(COLUMN($C$1:$BJ$1)-COLUMN($C$1)&lt;Controls!$B$7)*$C$12:$BJ$12)</f>
        <v>0</v>
      </c>
      <c r="BO12" s="24">
        <f>SUMPRODUCT((YEAR(EDATE(Controls!$B$6,COLUMN($C$1:$BJ$1)-COLUMN($C$1)))=YEAR(Controls!$B$6)+4)*(COLUMN($C$1:$BJ$1)-COLUMN($C$1)&lt;Controls!$B$7)*$C$12:$BJ$12)</f>
        <v>0</v>
      </c>
      <c r="BP12" s="24">
        <f>SUMPRODUCT((YEAR(EDATE(Controls!$B$6,COLUMN($C$1:$BJ$1)-COLUMN($C$1)))=YEAR(Controls!$B$6)+5)*(COLUMN($C$1:$BJ$1)-COLUMN($C$1)&lt;Controls!$B$7)*$C$12:$BJ$12)</f>
        <v>0</v>
      </c>
    </row>
    <row r="13" spans="1:68" x14ac:dyDescent="0.35">
      <c r="A13" s="15" t="s">
        <v>251</v>
      </c>
      <c r="B13" s="20" t="s">
        <v>124</v>
      </c>
      <c r="C13" s="29">
        <f>Headcount!C10</f>
        <v>10052</v>
      </c>
      <c r="D13" s="29">
        <f>Headcount!D10</f>
        <v>10052</v>
      </c>
      <c r="E13" s="29">
        <f>Headcount!E10</f>
        <v>10052</v>
      </c>
      <c r="F13" s="29">
        <f>Headcount!F10</f>
        <v>10052</v>
      </c>
      <c r="G13" s="29">
        <f>Headcount!G10</f>
        <v>10052</v>
      </c>
      <c r="H13" s="29">
        <f>Headcount!H10</f>
        <v>10052</v>
      </c>
      <c r="I13" s="29">
        <f>Headcount!I10</f>
        <v>10052</v>
      </c>
      <c r="J13" s="29">
        <f>Headcount!J10</f>
        <v>10052</v>
      </c>
      <c r="K13" s="29">
        <f>Headcount!K10</f>
        <v>10052</v>
      </c>
      <c r="L13" s="29">
        <f>Headcount!L10</f>
        <v>10052</v>
      </c>
      <c r="M13" s="29">
        <f>Headcount!M10</f>
        <v>10052</v>
      </c>
      <c r="N13" s="29">
        <f>Headcount!N10</f>
        <v>10052</v>
      </c>
      <c r="O13" s="29">
        <f>Headcount!O10</f>
        <v>12062.4</v>
      </c>
      <c r="P13" s="29">
        <f>Headcount!P10</f>
        <v>12062.4</v>
      </c>
      <c r="Q13" s="29">
        <f>Headcount!Q10</f>
        <v>12062.4</v>
      </c>
      <c r="R13" s="29">
        <f>Headcount!R10</f>
        <v>12062.4</v>
      </c>
      <c r="S13" s="29">
        <f>Headcount!S10</f>
        <v>12062.4</v>
      </c>
      <c r="T13" s="29">
        <f>Headcount!T10</f>
        <v>12062.4</v>
      </c>
      <c r="U13" s="29">
        <f>Headcount!U10</f>
        <v>12062.4</v>
      </c>
      <c r="V13" s="29">
        <f>Headcount!V10</f>
        <v>12062.4</v>
      </c>
      <c r="W13" s="29">
        <f>Headcount!W10</f>
        <v>12062.4</v>
      </c>
      <c r="X13" s="29">
        <f>Headcount!X10</f>
        <v>12062.4</v>
      </c>
      <c r="Y13" s="29">
        <f>Headcount!Y10</f>
        <v>12062.4</v>
      </c>
      <c r="Z13" s="29">
        <f>Headcount!Z10</f>
        <v>12062.4</v>
      </c>
      <c r="AA13" s="29">
        <f>Headcount!AA10</f>
        <v>14474.88</v>
      </c>
      <c r="AB13" s="29">
        <f>Headcount!AB10</f>
        <v>14474.88</v>
      </c>
      <c r="AC13" s="29">
        <f>Headcount!AC10</f>
        <v>14474.88</v>
      </c>
      <c r="AD13" s="29">
        <f>Headcount!AD10</f>
        <v>14474.88</v>
      </c>
      <c r="AE13" s="29">
        <f>Headcount!AE10</f>
        <v>14474.88</v>
      </c>
      <c r="AF13" s="29">
        <f>Headcount!AF10</f>
        <v>14474.88</v>
      </c>
      <c r="AG13" s="29">
        <f>Headcount!AG10</f>
        <v>14474.88</v>
      </c>
      <c r="AH13" s="29">
        <f>Headcount!AH10</f>
        <v>14474.88</v>
      </c>
      <c r="AI13" s="29">
        <f>Headcount!AI10</f>
        <v>14474.88</v>
      </c>
      <c r="AJ13" s="29">
        <f>Headcount!AJ10</f>
        <v>14474.88</v>
      </c>
      <c r="AK13" s="29">
        <f>Headcount!AK10</f>
        <v>14474.88</v>
      </c>
      <c r="AL13" s="29">
        <f>Headcount!AL10</f>
        <v>14474.88</v>
      </c>
      <c r="AM13" s="29">
        <f>Headcount!AM10</f>
        <v>0</v>
      </c>
      <c r="AN13" s="29">
        <f>Headcount!AN10</f>
        <v>0</v>
      </c>
      <c r="AO13" s="29">
        <f>Headcount!AO10</f>
        <v>0</v>
      </c>
      <c r="AP13" s="29">
        <f>Headcount!AP10</f>
        <v>0</v>
      </c>
      <c r="AQ13" s="29">
        <f>Headcount!AQ10</f>
        <v>0</v>
      </c>
      <c r="AR13" s="29">
        <f>Headcount!AR10</f>
        <v>0</v>
      </c>
      <c r="AS13" s="29">
        <f>Headcount!AS10</f>
        <v>0</v>
      </c>
      <c r="AT13" s="29">
        <f>Headcount!AT10</f>
        <v>0</v>
      </c>
      <c r="AU13" s="29">
        <f>Headcount!AU10</f>
        <v>0</v>
      </c>
      <c r="AV13" s="29">
        <f>Headcount!AV10</f>
        <v>0</v>
      </c>
      <c r="AW13" s="29">
        <f>Headcount!AW10</f>
        <v>0</v>
      </c>
      <c r="AX13" s="29">
        <f>Headcount!AX10</f>
        <v>0</v>
      </c>
      <c r="AY13" s="29">
        <f>Headcount!AY10</f>
        <v>0</v>
      </c>
      <c r="AZ13" s="29">
        <f>Headcount!AZ10</f>
        <v>0</v>
      </c>
      <c r="BA13" s="29">
        <f>Headcount!BA10</f>
        <v>0</v>
      </c>
      <c r="BB13" s="29">
        <f>Headcount!BB10</f>
        <v>0</v>
      </c>
      <c r="BC13" s="29">
        <f>Headcount!BC10</f>
        <v>0</v>
      </c>
      <c r="BD13" s="29">
        <f>Headcount!BD10</f>
        <v>0</v>
      </c>
      <c r="BE13" s="29">
        <f>Headcount!BE10</f>
        <v>0</v>
      </c>
      <c r="BF13" s="29">
        <f>Headcount!BF10</f>
        <v>0</v>
      </c>
      <c r="BG13" s="29">
        <f>Headcount!BG10</f>
        <v>0</v>
      </c>
      <c r="BH13" s="29">
        <f>Headcount!BH10</f>
        <v>0</v>
      </c>
      <c r="BI13" s="29">
        <f>Headcount!BI10</f>
        <v>0</v>
      </c>
      <c r="BJ13" s="29">
        <f>Headcount!BJ10</f>
        <v>0</v>
      </c>
      <c r="BK13" s="24">
        <f>SUMPRODUCT((YEAR(EDATE(Controls!$B$6,COLUMN($C$1:$BJ$1)-COLUMN($C$1)))=YEAR(Controls!$B$6)+0)*(COLUMN($C$1:$BJ$1)-COLUMN($C$1)&lt;Controls!$B$7)*$C$13:$BJ$13)</f>
        <v>120624</v>
      </c>
      <c r="BL13" s="24">
        <f>SUMPRODUCT((YEAR(EDATE(Controls!$B$6,COLUMN($C$1:$BJ$1)-COLUMN($C$1)))=YEAR(Controls!$B$6)+1)*(COLUMN($C$1:$BJ$1)-COLUMN($C$1)&lt;Controls!$B$7)*$C$13:$BJ$13)</f>
        <v>144748.79999999996</v>
      </c>
      <c r="BM13" s="24">
        <f>SUMPRODUCT((YEAR(EDATE(Controls!$B$6,COLUMN($C$1:$BJ$1)-COLUMN($C$1)))=YEAR(Controls!$B$6)+2)*(COLUMN($C$1:$BJ$1)-COLUMN($C$1)&lt;Controls!$B$7)*$C$13:$BJ$13)</f>
        <v>173698.56000000003</v>
      </c>
      <c r="BN13" s="24">
        <f>SUMPRODUCT((YEAR(EDATE(Controls!$B$6,COLUMN($C$1:$BJ$1)-COLUMN($C$1)))=YEAR(Controls!$B$6)+3)*(COLUMN($C$1:$BJ$1)-COLUMN($C$1)&lt;Controls!$B$7)*$C$13:$BJ$13)</f>
        <v>0</v>
      </c>
      <c r="BO13" s="24">
        <f>SUMPRODUCT((YEAR(EDATE(Controls!$B$6,COLUMN($C$1:$BJ$1)-COLUMN($C$1)))=YEAR(Controls!$B$6)+4)*(COLUMN($C$1:$BJ$1)-COLUMN($C$1)&lt;Controls!$B$7)*$C$13:$BJ$13)</f>
        <v>0</v>
      </c>
      <c r="BP13" s="24">
        <f>SUMPRODUCT((YEAR(EDATE(Controls!$B$6,COLUMN($C$1:$BJ$1)-COLUMN($C$1)))=YEAR(Controls!$B$6)+5)*(COLUMN($C$1:$BJ$1)-COLUMN($C$1)&lt;Controls!$B$7)*$C$13:$BJ$13)</f>
        <v>0</v>
      </c>
    </row>
    <row r="14" spans="1:68" x14ac:dyDescent="0.35">
      <c r="A14" s="25" t="s">
        <v>252</v>
      </c>
      <c r="B14" s="20" t="s">
        <v>124</v>
      </c>
      <c r="C14" s="24">
        <f t="shared" ref="C14:AH14" si="2">C7*0.35</f>
        <v>1750</v>
      </c>
      <c r="D14" s="24">
        <f t="shared" si="2"/>
        <v>1924.9999999999998</v>
      </c>
      <c r="E14" s="24">
        <f t="shared" si="2"/>
        <v>2100</v>
      </c>
      <c r="F14" s="24">
        <f t="shared" si="2"/>
        <v>2275</v>
      </c>
      <c r="G14" s="24">
        <f t="shared" si="2"/>
        <v>2450</v>
      </c>
      <c r="H14" s="24">
        <f t="shared" si="2"/>
        <v>2625</v>
      </c>
      <c r="I14" s="24">
        <f t="shared" si="2"/>
        <v>2800</v>
      </c>
      <c r="J14" s="24">
        <f t="shared" si="2"/>
        <v>2975</v>
      </c>
      <c r="K14" s="24">
        <f t="shared" si="2"/>
        <v>3150</v>
      </c>
      <c r="L14" s="24">
        <f t="shared" si="2"/>
        <v>3325</v>
      </c>
      <c r="M14" s="24">
        <f t="shared" si="2"/>
        <v>3500</v>
      </c>
      <c r="N14" s="24">
        <f t="shared" si="2"/>
        <v>3500</v>
      </c>
      <c r="O14" s="24">
        <f t="shared" si="2"/>
        <v>3500</v>
      </c>
      <c r="P14" s="24">
        <f t="shared" si="2"/>
        <v>3849.9999999999995</v>
      </c>
      <c r="Q14" s="24">
        <f t="shared" si="2"/>
        <v>3849.9999999999995</v>
      </c>
      <c r="R14" s="24">
        <f t="shared" si="2"/>
        <v>4200</v>
      </c>
      <c r="S14" s="24">
        <f t="shared" si="2"/>
        <v>4200</v>
      </c>
      <c r="T14" s="24">
        <f t="shared" si="2"/>
        <v>4200</v>
      </c>
      <c r="U14" s="24">
        <f t="shared" si="2"/>
        <v>4550</v>
      </c>
      <c r="V14" s="24">
        <f t="shared" si="2"/>
        <v>4550</v>
      </c>
      <c r="W14" s="24">
        <f t="shared" si="2"/>
        <v>4900</v>
      </c>
      <c r="X14" s="24">
        <f t="shared" si="2"/>
        <v>4900</v>
      </c>
      <c r="Y14" s="24">
        <f t="shared" si="2"/>
        <v>5250</v>
      </c>
      <c r="Z14" s="24">
        <f t="shared" si="2"/>
        <v>5250</v>
      </c>
      <c r="AA14" s="24">
        <f t="shared" si="2"/>
        <v>5250</v>
      </c>
      <c r="AB14" s="24">
        <f t="shared" si="2"/>
        <v>5600</v>
      </c>
      <c r="AC14" s="24">
        <f t="shared" si="2"/>
        <v>5600</v>
      </c>
      <c r="AD14" s="24">
        <f t="shared" si="2"/>
        <v>5950</v>
      </c>
      <c r="AE14" s="24">
        <f t="shared" si="2"/>
        <v>5950</v>
      </c>
      <c r="AF14" s="24">
        <f t="shared" si="2"/>
        <v>6300</v>
      </c>
      <c r="AG14" s="24">
        <f t="shared" si="2"/>
        <v>6300</v>
      </c>
      <c r="AH14" s="24">
        <f t="shared" si="2"/>
        <v>6650</v>
      </c>
      <c r="AI14" s="24">
        <f t="shared" ref="AI14:BJ14" si="3">AI7*0.35</f>
        <v>6650</v>
      </c>
      <c r="AJ14" s="24">
        <f t="shared" si="3"/>
        <v>7000</v>
      </c>
      <c r="AK14" s="24">
        <f t="shared" si="3"/>
        <v>7000</v>
      </c>
      <c r="AL14" s="24">
        <f t="shared" si="3"/>
        <v>7000</v>
      </c>
      <c r="AM14" s="24">
        <f t="shared" si="3"/>
        <v>7000</v>
      </c>
      <c r="AN14" s="24">
        <f t="shared" si="3"/>
        <v>7349.9999999999991</v>
      </c>
      <c r="AO14" s="24">
        <f t="shared" si="3"/>
        <v>7349.9999999999991</v>
      </c>
      <c r="AP14" s="24">
        <f t="shared" si="3"/>
        <v>7699.9999999999991</v>
      </c>
      <c r="AQ14" s="24">
        <f t="shared" si="3"/>
        <v>7699.9999999999991</v>
      </c>
      <c r="AR14" s="24">
        <f t="shared" si="3"/>
        <v>8049.9999999999991</v>
      </c>
      <c r="AS14" s="24">
        <f t="shared" si="3"/>
        <v>8049.9999999999991</v>
      </c>
      <c r="AT14" s="24">
        <f t="shared" si="3"/>
        <v>8400</v>
      </c>
      <c r="AU14" s="24">
        <f t="shared" si="3"/>
        <v>8400</v>
      </c>
      <c r="AV14" s="24">
        <f t="shared" si="3"/>
        <v>8750</v>
      </c>
      <c r="AW14" s="24">
        <f t="shared" si="3"/>
        <v>8750</v>
      </c>
      <c r="AX14" s="24">
        <f t="shared" si="3"/>
        <v>8750</v>
      </c>
      <c r="AY14" s="24">
        <f t="shared" si="3"/>
        <v>8750</v>
      </c>
      <c r="AZ14" s="24">
        <f t="shared" si="3"/>
        <v>9100</v>
      </c>
      <c r="BA14" s="24">
        <f t="shared" si="3"/>
        <v>9450</v>
      </c>
      <c r="BB14" s="24">
        <f t="shared" si="3"/>
        <v>9450</v>
      </c>
      <c r="BC14" s="24">
        <f t="shared" si="3"/>
        <v>9800</v>
      </c>
      <c r="BD14" s="24">
        <f t="shared" si="3"/>
        <v>9800</v>
      </c>
      <c r="BE14" s="24">
        <f t="shared" si="3"/>
        <v>10150</v>
      </c>
      <c r="BF14" s="24">
        <f t="shared" si="3"/>
        <v>10500</v>
      </c>
      <c r="BG14" s="24">
        <f t="shared" si="3"/>
        <v>10500</v>
      </c>
      <c r="BH14" s="24">
        <f t="shared" si="3"/>
        <v>10850</v>
      </c>
      <c r="BI14" s="24">
        <f t="shared" si="3"/>
        <v>11200</v>
      </c>
      <c r="BJ14" s="24">
        <f t="shared" si="3"/>
        <v>11200</v>
      </c>
      <c r="BK14" s="24">
        <f>SUMPRODUCT((YEAR(EDATE(Controls!$B$6,COLUMN($C$1:$BJ$1)-COLUMN($C$1)))=YEAR(Controls!$B$6)+0)*(COLUMN($C$1:$BJ$1)-COLUMN($C$1)&lt;Controls!$B$7)*$C$14:$BJ$14)</f>
        <v>32375</v>
      </c>
      <c r="BL14" s="24">
        <f>SUMPRODUCT((YEAR(EDATE(Controls!$B$6,COLUMN($C$1:$BJ$1)-COLUMN($C$1)))=YEAR(Controls!$B$6)+1)*(COLUMN($C$1:$BJ$1)-COLUMN($C$1)&lt;Controls!$B$7)*$C$14:$BJ$14)</f>
        <v>53200</v>
      </c>
      <c r="BM14" s="24">
        <f>SUMPRODUCT((YEAR(EDATE(Controls!$B$6,COLUMN($C$1:$BJ$1)-COLUMN($C$1)))=YEAR(Controls!$B$6)+2)*(COLUMN($C$1:$BJ$1)-COLUMN($C$1)&lt;Controls!$B$7)*$C$14:$BJ$14)</f>
        <v>75250</v>
      </c>
      <c r="BN14" s="24">
        <f>SUMPRODUCT((YEAR(EDATE(Controls!$B$6,COLUMN($C$1:$BJ$1)-COLUMN($C$1)))=YEAR(Controls!$B$6)+3)*(COLUMN($C$1:$BJ$1)-COLUMN($C$1)&lt;Controls!$B$7)*$C$14:$BJ$14)</f>
        <v>0</v>
      </c>
      <c r="BO14" s="24">
        <f>SUMPRODUCT((YEAR(EDATE(Controls!$B$6,COLUMN($C$1:$BJ$1)-COLUMN($C$1)))=YEAR(Controls!$B$6)+4)*(COLUMN($C$1:$BJ$1)-COLUMN($C$1)&lt;Controls!$B$7)*$C$14:$BJ$14)</f>
        <v>0</v>
      </c>
      <c r="BP14" s="24">
        <f>SUMPRODUCT((YEAR(EDATE(Controls!$B$6,COLUMN($C$1:$BJ$1)-COLUMN($C$1)))=YEAR(Controls!$B$6)+5)*(COLUMN($C$1:$BJ$1)-COLUMN($C$1)&lt;Controls!$B$7)*$C$14:$BJ$14)</f>
        <v>0</v>
      </c>
    </row>
    <row r="15" spans="1:68" x14ac:dyDescent="0.35">
      <c r="A15" s="6" t="s">
        <v>253</v>
      </c>
      <c r="B15" s="20" t="s">
        <v>124</v>
      </c>
      <c r="C15" s="24">
        <f t="shared" ref="C15:AH15" si="4">C11+C12+C13+C14</f>
        <v>15802</v>
      </c>
      <c r="D15" s="24">
        <f t="shared" si="4"/>
        <v>15977</v>
      </c>
      <c r="E15" s="24">
        <f t="shared" si="4"/>
        <v>16152</v>
      </c>
      <c r="F15" s="24">
        <f t="shared" si="4"/>
        <v>16327</v>
      </c>
      <c r="G15" s="24">
        <f t="shared" si="4"/>
        <v>16502</v>
      </c>
      <c r="H15" s="24">
        <f t="shared" si="4"/>
        <v>16677</v>
      </c>
      <c r="I15" s="24">
        <f t="shared" si="4"/>
        <v>16852</v>
      </c>
      <c r="J15" s="24">
        <f t="shared" si="4"/>
        <v>17027</v>
      </c>
      <c r="K15" s="24">
        <f t="shared" si="4"/>
        <v>17202</v>
      </c>
      <c r="L15" s="24">
        <f t="shared" si="4"/>
        <v>17377</v>
      </c>
      <c r="M15" s="24">
        <f t="shared" si="4"/>
        <v>17552</v>
      </c>
      <c r="N15" s="24">
        <f t="shared" si="4"/>
        <v>17552</v>
      </c>
      <c r="O15" s="24">
        <f t="shared" si="4"/>
        <v>20362.400000000001</v>
      </c>
      <c r="P15" s="24">
        <f t="shared" si="4"/>
        <v>20712.400000000001</v>
      </c>
      <c r="Q15" s="24">
        <f t="shared" si="4"/>
        <v>20712.400000000001</v>
      </c>
      <c r="R15" s="24">
        <f t="shared" si="4"/>
        <v>21062.400000000001</v>
      </c>
      <c r="S15" s="24">
        <f t="shared" si="4"/>
        <v>21062.400000000001</v>
      </c>
      <c r="T15" s="24">
        <f t="shared" si="4"/>
        <v>21062.400000000001</v>
      </c>
      <c r="U15" s="24">
        <f t="shared" si="4"/>
        <v>21412.400000000001</v>
      </c>
      <c r="V15" s="24">
        <f t="shared" si="4"/>
        <v>21412.400000000001</v>
      </c>
      <c r="W15" s="24">
        <f t="shared" si="4"/>
        <v>21762.400000000001</v>
      </c>
      <c r="X15" s="24">
        <f t="shared" si="4"/>
        <v>21762.400000000001</v>
      </c>
      <c r="Y15" s="24">
        <f t="shared" si="4"/>
        <v>22112.400000000001</v>
      </c>
      <c r="Z15" s="24">
        <f t="shared" si="4"/>
        <v>22112.400000000001</v>
      </c>
      <c r="AA15" s="24">
        <f t="shared" si="4"/>
        <v>25484.879999999997</v>
      </c>
      <c r="AB15" s="24">
        <f t="shared" si="4"/>
        <v>25834.879999999997</v>
      </c>
      <c r="AC15" s="24">
        <f t="shared" si="4"/>
        <v>25834.879999999997</v>
      </c>
      <c r="AD15" s="24">
        <f t="shared" si="4"/>
        <v>26184.879999999997</v>
      </c>
      <c r="AE15" s="24">
        <f t="shared" si="4"/>
        <v>26184.879999999997</v>
      </c>
      <c r="AF15" s="24">
        <f t="shared" si="4"/>
        <v>26534.879999999997</v>
      </c>
      <c r="AG15" s="24">
        <f t="shared" si="4"/>
        <v>26534.879999999997</v>
      </c>
      <c r="AH15" s="24">
        <f t="shared" si="4"/>
        <v>26884.879999999997</v>
      </c>
      <c r="AI15" s="24">
        <f t="shared" ref="AI15:BJ15" si="5">AI11+AI12+AI13+AI14</f>
        <v>26884.879999999997</v>
      </c>
      <c r="AJ15" s="24">
        <f t="shared" si="5"/>
        <v>27234.879999999997</v>
      </c>
      <c r="AK15" s="24">
        <f t="shared" si="5"/>
        <v>27234.879999999997</v>
      </c>
      <c r="AL15" s="24">
        <f t="shared" si="5"/>
        <v>27234.879999999997</v>
      </c>
      <c r="AM15" s="24">
        <f t="shared" si="5"/>
        <v>7000</v>
      </c>
      <c r="AN15" s="24">
        <f t="shared" si="5"/>
        <v>7349.9999999999991</v>
      </c>
      <c r="AO15" s="24">
        <f t="shared" si="5"/>
        <v>7349.9999999999991</v>
      </c>
      <c r="AP15" s="24">
        <f t="shared" si="5"/>
        <v>7699.9999999999991</v>
      </c>
      <c r="AQ15" s="24">
        <f t="shared" si="5"/>
        <v>7699.9999999999991</v>
      </c>
      <c r="AR15" s="24">
        <f t="shared" si="5"/>
        <v>8049.9999999999991</v>
      </c>
      <c r="AS15" s="24">
        <f t="shared" si="5"/>
        <v>8049.9999999999991</v>
      </c>
      <c r="AT15" s="24">
        <f t="shared" si="5"/>
        <v>8400</v>
      </c>
      <c r="AU15" s="24">
        <f t="shared" si="5"/>
        <v>8400</v>
      </c>
      <c r="AV15" s="24">
        <f t="shared" si="5"/>
        <v>8750</v>
      </c>
      <c r="AW15" s="24">
        <f t="shared" si="5"/>
        <v>8750</v>
      </c>
      <c r="AX15" s="24">
        <f t="shared" si="5"/>
        <v>8750</v>
      </c>
      <c r="AY15" s="24">
        <f t="shared" si="5"/>
        <v>8750</v>
      </c>
      <c r="AZ15" s="24">
        <f t="shared" si="5"/>
        <v>9100</v>
      </c>
      <c r="BA15" s="24">
        <f t="shared" si="5"/>
        <v>9450</v>
      </c>
      <c r="BB15" s="24">
        <f t="shared" si="5"/>
        <v>9450</v>
      </c>
      <c r="BC15" s="24">
        <f t="shared" si="5"/>
        <v>9800</v>
      </c>
      <c r="BD15" s="24">
        <f t="shared" si="5"/>
        <v>9800</v>
      </c>
      <c r="BE15" s="24">
        <f t="shared" si="5"/>
        <v>10150</v>
      </c>
      <c r="BF15" s="24">
        <f t="shared" si="5"/>
        <v>10500</v>
      </c>
      <c r="BG15" s="24">
        <f t="shared" si="5"/>
        <v>10500</v>
      </c>
      <c r="BH15" s="24">
        <f t="shared" si="5"/>
        <v>10850</v>
      </c>
      <c r="BI15" s="24">
        <f t="shared" si="5"/>
        <v>11200</v>
      </c>
      <c r="BJ15" s="24">
        <f t="shared" si="5"/>
        <v>11200</v>
      </c>
      <c r="BK15" s="24">
        <f>SUMPRODUCT((YEAR(EDATE(Controls!$B$6,COLUMN($C$1:$BJ$1)-COLUMN($C$1)))=YEAR(Controls!$B$6)+0)*(COLUMN($C$1:$BJ$1)-COLUMN($C$1)&lt;Controls!$B$7)*$C$15:$BJ$15)</f>
        <v>200999</v>
      </c>
      <c r="BL15" s="24">
        <f>SUMPRODUCT((YEAR(EDATE(Controls!$B$6,COLUMN($C$1:$BJ$1)-COLUMN($C$1)))=YEAR(Controls!$B$6)+1)*(COLUMN($C$1:$BJ$1)-COLUMN($C$1)&lt;Controls!$B$7)*$C$15:$BJ$15)</f>
        <v>255548.79999999996</v>
      </c>
      <c r="BM15" s="24">
        <f>SUMPRODUCT((YEAR(EDATE(Controls!$B$6,COLUMN($C$1:$BJ$1)-COLUMN($C$1)))=YEAR(Controls!$B$6)+2)*(COLUMN($C$1:$BJ$1)-COLUMN($C$1)&lt;Controls!$B$7)*$C$15:$BJ$15)</f>
        <v>318068.56</v>
      </c>
      <c r="BN15" s="24">
        <f>SUMPRODUCT((YEAR(EDATE(Controls!$B$6,COLUMN($C$1:$BJ$1)-COLUMN($C$1)))=YEAR(Controls!$B$6)+3)*(COLUMN($C$1:$BJ$1)-COLUMN($C$1)&lt;Controls!$B$7)*$C$15:$BJ$15)</f>
        <v>0</v>
      </c>
      <c r="BO15" s="24">
        <f>SUMPRODUCT((YEAR(EDATE(Controls!$B$6,COLUMN($C$1:$BJ$1)-COLUMN($C$1)))=YEAR(Controls!$B$6)+4)*(COLUMN($C$1:$BJ$1)-COLUMN($C$1)&lt;Controls!$B$7)*$C$15:$BJ$15)</f>
        <v>0</v>
      </c>
      <c r="BP15" s="24">
        <f>SUMPRODUCT((YEAR(EDATE(Controls!$B$6,COLUMN($C$1:$BJ$1)-COLUMN($C$1)))=YEAR(Controls!$B$6)+5)*(COLUMN($C$1:$BJ$1)-COLUMN($C$1)&lt;Controls!$B$7)*$C$15:$BJ$15)</f>
        <v>0</v>
      </c>
    </row>
    <row r="16" spans="1:68" x14ac:dyDescent="0.35">
      <c r="A16" s="6" t="s">
        <v>254</v>
      </c>
      <c r="B16" s="20" t="s">
        <v>124</v>
      </c>
      <c r="C16" s="24">
        <f t="shared" ref="C16:AH16" si="6">C8-C15</f>
        <v>-2110.905999999999</v>
      </c>
      <c r="D16" s="24">
        <f t="shared" si="6"/>
        <v>10245.068871999996</v>
      </c>
      <c r="E16" s="24">
        <f t="shared" si="6"/>
        <v>25962.148762071454</v>
      </c>
      <c r="F16" s="24">
        <f t="shared" si="6"/>
        <v>44949.382406465898</v>
      </c>
      <c r="G16" s="24">
        <f t="shared" si="6"/>
        <v>67590.710108120664</v>
      </c>
      <c r="H16" s="24">
        <f t="shared" si="6"/>
        <v>93556.197172357439</v>
      </c>
      <c r="I16" s="24">
        <f t="shared" si="6"/>
        <v>123049.30502761222</v>
      </c>
      <c r="J16" s="24">
        <f t="shared" si="6"/>
        <v>155442.82053103056</v>
      </c>
      <c r="K16" s="24">
        <f t="shared" si="6"/>
        <v>191234.55325874797</v>
      </c>
      <c r="L16" s="24">
        <f t="shared" si="6"/>
        <v>230776.91327953868</v>
      </c>
      <c r="M16" s="24">
        <f t="shared" si="6"/>
        <v>273764.95433024573</v>
      </c>
      <c r="N16" s="24">
        <f t="shared" si="6"/>
        <v>320313.73987247521</v>
      </c>
      <c r="O16" s="24">
        <f t="shared" si="6"/>
        <v>368030.91651972861</v>
      </c>
      <c r="P16" s="24">
        <f t="shared" si="6"/>
        <v>423757.53045525542</v>
      </c>
      <c r="Q16" s="24">
        <f t="shared" si="6"/>
        <v>482829.47512039013</v>
      </c>
      <c r="R16" s="24">
        <f t="shared" si="6"/>
        <v>547094.28714312275</v>
      </c>
      <c r="S16" s="24">
        <f t="shared" si="6"/>
        <v>614989.47666949267</v>
      </c>
      <c r="T16" s="24">
        <f t="shared" si="6"/>
        <v>687729.19760841469</v>
      </c>
      <c r="U16" s="24">
        <f t="shared" si="6"/>
        <v>766052.30783042638</v>
      </c>
      <c r="V16" s="24">
        <f t="shared" si="6"/>
        <v>849659.90455926105</v>
      </c>
      <c r="W16" s="24">
        <f t="shared" si="6"/>
        <v>939840.9224889183</v>
      </c>
      <c r="X16" s="24">
        <f t="shared" si="6"/>
        <v>1035564.4142273659</v>
      </c>
      <c r="Y16" s="24">
        <f t="shared" si="6"/>
        <v>1138496.6015974665</v>
      </c>
      <c r="Z16" s="24">
        <f t="shared" si="6"/>
        <v>1247529.2345430423</v>
      </c>
      <c r="AA16" s="24">
        <f t="shared" si="6"/>
        <v>1360676.7032777655</v>
      </c>
      <c r="AB16" s="24">
        <f t="shared" si="6"/>
        <v>1486043.7432989147</v>
      </c>
      <c r="AC16" s="24">
        <f t="shared" si="6"/>
        <v>1619601.6421780831</v>
      </c>
      <c r="AD16" s="24">
        <f t="shared" si="6"/>
        <v>1762653.9769839714</v>
      </c>
      <c r="AE16" s="24">
        <f t="shared" si="6"/>
        <v>1914728.4869403122</v>
      </c>
      <c r="AF16" s="24">
        <f t="shared" si="6"/>
        <v>2077659.9716668441</v>
      </c>
      <c r="AG16" s="24">
        <f t="shared" si="6"/>
        <v>2250898.747941487</v>
      </c>
      <c r="AH16" s="24">
        <f t="shared" si="6"/>
        <v>2436393.1724371789</v>
      </c>
      <c r="AI16" s="24">
        <f t="shared" ref="AI16:BJ16" si="7">AI8-AI15</f>
        <v>2633851.3241655109</v>
      </c>
      <c r="AJ16" s="24">
        <f t="shared" si="7"/>
        <v>2844924.9775726795</v>
      </c>
      <c r="AK16" s="24">
        <f t="shared" si="7"/>
        <v>3069567.298288472</v>
      </c>
      <c r="AL16" s="24">
        <f t="shared" si="7"/>
        <v>3309324.7864510226</v>
      </c>
      <c r="AM16" s="24">
        <f t="shared" si="7"/>
        <v>3513071.6630960428</v>
      </c>
      <c r="AN16" s="24">
        <f t="shared" si="7"/>
        <v>3680185.5330592259</v>
      </c>
      <c r="AO16" s="24">
        <f t="shared" si="7"/>
        <v>3831323.4910863386</v>
      </c>
      <c r="AP16" s="24">
        <f t="shared" si="7"/>
        <v>3969119.7794411299</v>
      </c>
      <c r="AQ16" s="24">
        <f t="shared" si="7"/>
        <v>4093705.135530008</v>
      </c>
      <c r="AR16" s="24">
        <f t="shared" si="7"/>
        <v>4207682.1988750156</v>
      </c>
      <c r="AS16" s="24">
        <f t="shared" si="7"/>
        <v>4310901.7380593158</v>
      </c>
      <c r="AT16" s="24">
        <f t="shared" si="7"/>
        <v>4405562.0415988797</v>
      </c>
      <c r="AU16" s="24">
        <f t="shared" si="7"/>
        <v>4491362.995195399</v>
      </c>
      <c r="AV16" s="24">
        <f t="shared" si="7"/>
        <v>4570515.5980114425</v>
      </c>
      <c r="AW16" s="24">
        <f t="shared" si="7"/>
        <v>4642815.6254881136</v>
      </c>
      <c r="AX16" s="24">
        <f t="shared" si="7"/>
        <v>4709530.2781079113</v>
      </c>
      <c r="AY16" s="24">
        <f t="shared" si="7"/>
        <v>4771340.1540519875</v>
      </c>
      <c r="AZ16" s="24">
        <f t="shared" si="7"/>
        <v>4829282.6851642868</v>
      </c>
      <c r="BA16" s="24">
        <f t="shared" si="7"/>
        <v>4883326.9880150519</v>
      </c>
      <c r="BB16" s="24">
        <f t="shared" si="7"/>
        <v>4933155.4826709302</v>
      </c>
      <c r="BC16" s="24">
        <f t="shared" si="7"/>
        <v>4980602.7258979427</v>
      </c>
      <c r="BD16" s="24">
        <f t="shared" si="7"/>
        <v>5024624.2890248159</v>
      </c>
      <c r="BE16" s="24">
        <f t="shared" si="7"/>
        <v>5066984.8904617941</v>
      </c>
      <c r="BF16" s="24">
        <f t="shared" si="7"/>
        <v>5107375.6365829669</v>
      </c>
      <c r="BG16" s="24">
        <f t="shared" si="7"/>
        <v>5145259.9171760976</v>
      </c>
      <c r="BH16" s="24">
        <f t="shared" si="7"/>
        <v>5182356.7347302185</v>
      </c>
      <c r="BI16" s="24">
        <f t="shared" si="7"/>
        <v>5218132.102833746</v>
      </c>
      <c r="BJ16" s="24">
        <f t="shared" si="7"/>
        <v>5252273.9342789939</v>
      </c>
      <c r="BK16" s="24">
        <f>SUMPRODUCT((YEAR(EDATE(Controls!$B$6,COLUMN($C$1:$BJ$1)-COLUMN($C$1)))=YEAR(Controls!$B$6)+0)*(COLUMN($C$1:$BJ$1)-COLUMN($C$1)&lt;Controls!$B$7)*$C$16:$BJ$16)</f>
        <v>1534774.8876206658</v>
      </c>
      <c r="BL16" s="24">
        <f>SUMPRODUCT((YEAR(EDATE(Controls!$B$6,COLUMN($C$1:$BJ$1)-COLUMN($C$1)))=YEAR(Controls!$B$6)+1)*(COLUMN($C$1:$BJ$1)-COLUMN($C$1)&lt;Controls!$B$7)*$C$16:$BJ$16)</f>
        <v>9101574.2687628847</v>
      </c>
      <c r="BM16" s="24">
        <f>SUMPRODUCT((YEAR(EDATE(Controls!$B$6,COLUMN($C$1:$BJ$1)-COLUMN($C$1)))=YEAR(Controls!$B$6)+2)*(COLUMN($C$1:$BJ$1)-COLUMN($C$1)&lt;Controls!$B$7)*$C$16:$BJ$16)</f>
        <v>26766324.831202243</v>
      </c>
      <c r="BN16" s="24">
        <f>SUMPRODUCT((YEAR(EDATE(Controls!$B$6,COLUMN($C$1:$BJ$1)-COLUMN($C$1)))=YEAR(Controls!$B$6)+3)*(COLUMN($C$1:$BJ$1)-COLUMN($C$1)&lt;Controls!$B$7)*$C$16:$BJ$16)</f>
        <v>0</v>
      </c>
      <c r="BO16" s="24">
        <f>SUMPRODUCT((YEAR(EDATE(Controls!$B$6,COLUMN($C$1:$BJ$1)-COLUMN($C$1)))=YEAR(Controls!$B$6)+4)*(COLUMN($C$1:$BJ$1)-COLUMN($C$1)&lt;Controls!$B$7)*$C$16:$BJ$16)</f>
        <v>0</v>
      </c>
      <c r="BP16" s="24">
        <f>SUMPRODUCT((YEAR(EDATE(Controls!$B$6,COLUMN($C$1:$BJ$1)-COLUMN($C$1)))=YEAR(Controls!$B$6)+5)*(COLUMN($C$1:$BJ$1)-COLUMN($C$1)&lt;Controls!$B$7)*$C$16:$BJ$16)</f>
        <v>0</v>
      </c>
    </row>
    <row r="17" spans="1:68" x14ac:dyDescent="0.35">
      <c r="A17" s="6" t="s">
        <v>255</v>
      </c>
      <c r="B17" s="20" t="s">
        <v>110</v>
      </c>
      <c r="C17" s="27">
        <f t="shared" ref="C17:AH17" si="8">IFERROR(C16/C8,0)</f>
        <v>-0.15418095880431459</v>
      </c>
      <c r="D17" s="27">
        <f t="shared" si="8"/>
        <v>0.39070406389404733</v>
      </c>
      <c r="E17" s="27">
        <f t="shared" si="8"/>
        <v>0.61647093732672809</v>
      </c>
      <c r="F17" s="27">
        <f t="shared" si="8"/>
        <v>0.73355150289882043</v>
      </c>
      <c r="G17" s="27">
        <f t="shared" si="8"/>
        <v>0.80376420288057249</v>
      </c>
      <c r="H17" s="27">
        <f t="shared" si="8"/>
        <v>0.84871163653246562</v>
      </c>
      <c r="I17" s="27">
        <f t="shared" si="8"/>
        <v>0.87954365403043289</v>
      </c>
      <c r="J17" s="27">
        <f t="shared" si="8"/>
        <v>0.90127548142872616</v>
      </c>
      <c r="K17" s="27">
        <f t="shared" si="8"/>
        <v>0.91747128931533495</v>
      </c>
      <c r="L17" s="27">
        <f t="shared" si="8"/>
        <v>0.92997491044831815</v>
      </c>
      <c r="M17" s="27">
        <f t="shared" si="8"/>
        <v>0.93974947307700285</v>
      </c>
      <c r="N17" s="27">
        <f t="shared" si="8"/>
        <v>0.94805037052106889</v>
      </c>
      <c r="O17" s="27">
        <f t="shared" si="8"/>
        <v>0.94757273327342206</v>
      </c>
      <c r="P17" s="27">
        <f t="shared" si="8"/>
        <v>0.95339977222129513</v>
      </c>
      <c r="Q17" s="27">
        <f t="shared" si="8"/>
        <v>0.95886657888175042</v>
      </c>
      <c r="R17" s="27">
        <f t="shared" si="8"/>
        <v>0.96292853630587605</v>
      </c>
      <c r="S17" s="27">
        <f t="shared" si="8"/>
        <v>0.96688571990340255</v>
      </c>
      <c r="T17" s="27">
        <f t="shared" si="8"/>
        <v>0.97028407211503609</v>
      </c>
      <c r="U17" s="27">
        <f t="shared" si="8"/>
        <v>0.97280843219121005</v>
      </c>
      <c r="V17" s="27">
        <f t="shared" si="8"/>
        <v>0.97541834370358715</v>
      </c>
      <c r="W17" s="27">
        <f t="shared" si="8"/>
        <v>0.97736863060781409</v>
      </c>
      <c r="X17" s="27">
        <f t="shared" si="8"/>
        <v>0.9794175275731537</v>
      </c>
      <c r="Y17" s="27">
        <f t="shared" si="8"/>
        <v>0.98094758874904098</v>
      </c>
      <c r="Z17" s="27">
        <f t="shared" si="8"/>
        <v>0.98258374694213746</v>
      </c>
      <c r="AA17" s="27">
        <f t="shared" si="8"/>
        <v>0.98161478408618319</v>
      </c>
      <c r="AB17" s="27">
        <f t="shared" si="8"/>
        <v>0.98291206740946691</v>
      </c>
      <c r="AC17" s="27">
        <f t="shared" si="8"/>
        <v>0.9842990722207855</v>
      </c>
      <c r="AD17" s="27">
        <f t="shared" si="8"/>
        <v>0.98536208004551717</v>
      </c>
      <c r="AE17" s="27">
        <f t="shared" si="8"/>
        <v>0.9865089908462642</v>
      </c>
      <c r="AF17" s="27">
        <f t="shared" si="8"/>
        <v>0.98738953287573139</v>
      </c>
      <c r="AG17" s="27">
        <f t="shared" si="8"/>
        <v>0.98834878010298632</v>
      </c>
      <c r="AH17" s="27">
        <f t="shared" si="8"/>
        <v>0.98908573071018113</v>
      </c>
      <c r="AI17" s="27">
        <f t="shared" ref="AI17:BJ17" si="9">IFERROR(AI16/AI8,0)</f>
        <v>0.98989569880775463</v>
      </c>
      <c r="AJ17" s="27">
        <f t="shared" si="9"/>
        <v>0.9905176308595105</v>
      </c>
      <c r="AK17" s="27">
        <f t="shared" si="9"/>
        <v>0.99120548280708975</v>
      </c>
      <c r="AL17" s="27">
        <f t="shared" si="9"/>
        <v>0.99183743654464041</v>
      </c>
      <c r="AM17" s="27">
        <f t="shared" si="9"/>
        <v>0.99801140412185718</v>
      </c>
      <c r="AN17" s="27">
        <f t="shared" si="9"/>
        <v>0.99800679886767019</v>
      </c>
      <c r="AO17" s="27">
        <f t="shared" si="9"/>
        <v>0.99808527606813469</v>
      </c>
      <c r="AP17" s="27">
        <f t="shared" si="9"/>
        <v>0.99806377949541325</v>
      </c>
      <c r="AQ17" s="27">
        <f t="shared" si="9"/>
        <v>0.99812259463633679</v>
      </c>
      <c r="AR17" s="27">
        <f t="shared" si="9"/>
        <v>0.99809048591792715</v>
      </c>
      <c r="AS17" s="27">
        <f t="shared" si="9"/>
        <v>0.99813612179801359</v>
      </c>
      <c r="AT17" s="27">
        <f t="shared" si="9"/>
        <v>0.99809694783941616</v>
      </c>
      <c r="AU17" s="27">
        <f t="shared" si="9"/>
        <v>0.99813323501505102</v>
      </c>
      <c r="AV17" s="27">
        <f t="shared" si="9"/>
        <v>0.99808921325642264</v>
      </c>
      <c r="AW17" s="27">
        <f t="shared" si="9"/>
        <v>0.99811891291997368</v>
      </c>
      <c r="AX17" s="27">
        <f t="shared" si="9"/>
        <v>0.99814551076149527</v>
      </c>
      <c r="AY17" s="27">
        <f t="shared" si="9"/>
        <v>0.99816949059159843</v>
      </c>
      <c r="AZ17" s="27">
        <f t="shared" si="9"/>
        <v>0.99811920623230099</v>
      </c>
      <c r="BA17" s="27">
        <f t="shared" si="9"/>
        <v>0.99806858149816602</v>
      </c>
      <c r="BB17" s="27">
        <f t="shared" si="9"/>
        <v>0.99808805294431602</v>
      </c>
      <c r="BC17" s="27">
        <f t="shared" si="9"/>
        <v>0.99803623063342317</v>
      </c>
      <c r="BD17" s="27">
        <f t="shared" si="9"/>
        <v>0.99805340205008852</v>
      </c>
      <c r="BE17" s="27">
        <f t="shared" si="9"/>
        <v>0.99800084098236819</v>
      </c>
      <c r="BF17" s="27">
        <f t="shared" si="9"/>
        <v>0.99794836749745441</v>
      </c>
      <c r="BG17" s="27">
        <f t="shared" si="9"/>
        <v>0.99796344279627536</v>
      </c>
      <c r="BH17" s="27">
        <f t="shared" si="9"/>
        <v>0.99791073212482773</v>
      </c>
      <c r="BI17" s="27">
        <f t="shared" si="9"/>
        <v>0.99785823509011207</v>
      </c>
      <c r="BJ17" s="27">
        <f t="shared" si="9"/>
        <v>0.99787212777343526</v>
      </c>
      <c r="BK17" s="27">
        <f>IFERROR(SUMPRODUCT((YEAR(EDATE(Controls!$B$6,COLUMN($C$1:$BJ$1)-COLUMN($C$1)))=YEAR(Controls!$B$6)+0)*(COLUMN($C$1:$BJ$1)-COLUMN($C$1)&lt;Controls!$B$7)*$C$17:$BJ$17)/SUMPRODUCT((YEAR(EDATE(Controls!$B$6,COLUMN($C$1:$BJ$1)-COLUMN($C$1)))=YEAR(Controls!$B$6)+0)*(COLUMN($C$1:$BJ$1)-COLUMN($C$1)&lt;Controls!$B$7)*1),0)</f>
        <v>0.72959054696243364</v>
      </c>
      <c r="BL17" s="27">
        <f>IFERROR(SUMPRODUCT((YEAR(EDATE(Controls!$B$6,COLUMN($C$1:$BJ$1)-COLUMN($C$1)))=YEAR(Controls!$B$6)+1)*(COLUMN($C$1:$BJ$1)-COLUMN($C$1)&lt;Controls!$B$7)*$C$17:$BJ$17)/SUMPRODUCT((YEAR(EDATE(Controls!$B$6,COLUMN($C$1:$BJ$1)-COLUMN($C$1)))=YEAR(Controls!$B$6)+1)*(COLUMN($C$1:$BJ$1)-COLUMN($C$1)&lt;Controls!$B$7)*1),0)</f>
        <v>0.96904014020564377</v>
      </c>
      <c r="BM17" s="27">
        <f>IFERROR(SUMPRODUCT((YEAR(EDATE(Controls!$B$6,COLUMN($C$1:$BJ$1)-COLUMN($C$1)))=YEAR(Controls!$B$6)+2)*(COLUMN($C$1:$BJ$1)-COLUMN($C$1)&lt;Controls!$B$7)*$C$17:$BJ$17)/SUMPRODUCT((YEAR(EDATE(Controls!$B$6,COLUMN($C$1:$BJ$1)-COLUMN($C$1)))=YEAR(Controls!$B$6)+2)*(COLUMN($C$1:$BJ$1)-COLUMN($C$1)&lt;Controls!$B$7)*1),0)</f>
        <v>0.98741477394300936</v>
      </c>
      <c r="BN17" s="27">
        <f>IFERROR(SUMPRODUCT((YEAR(EDATE(Controls!$B$6,COLUMN($C$1:$BJ$1)-COLUMN($C$1)))=YEAR(Controls!$B$6)+3)*(COLUMN($C$1:$BJ$1)-COLUMN($C$1)&lt;Controls!$B$7)*$C$17:$BJ$17)/SUMPRODUCT((YEAR(EDATE(Controls!$B$6,COLUMN($C$1:$BJ$1)-COLUMN($C$1)))=YEAR(Controls!$B$6)+3)*(COLUMN($C$1:$BJ$1)-COLUMN($C$1)&lt;Controls!$B$7)*1),0)</f>
        <v>0</v>
      </c>
      <c r="BO17" s="27">
        <f>IFERROR(SUMPRODUCT((YEAR(EDATE(Controls!$B$6,COLUMN($C$1:$BJ$1)-COLUMN($C$1)))=YEAR(Controls!$B$6)+4)*(COLUMN($C$1:$BJ$1)-COLUMN($C$1)&lt;Controls!$B$7)*$C$17:$BJ$17)/SUMPRODUCT((YEAR(EDATE(Controls!$B$6,COLUMN($C$1:$BJ$1)-COLUMN($C$1)))=YEAR(Controls!$B$6)+4)*(COLUMN($C$1:$BJ$1)-COLUMN($C$1)&lt;Controls!$B$7)*1),0)</f>
        <v>0</v>
      </c>
      <c r="BP17" s="27">
        <f>IFERROR(SUMPRODUCT((YEAR(EDATE(Controls!$B$6,COLUMN($C$1:$BJ$1)-COLUMN($C$1)))=YEAR(Controls!$B$6)+5)*(COLUMN($C$1:$BJ$1)-COLUMN($C$1)&lt;Controls!$B$7)*$C$17:$BJ$17)/SUMPRODUCT((YEAR(EDATE(Controls!$B$6,COLUMN($C$1:$BJ$1)-COLUMN($C$1)))=YEAR(Controls!$B$6)+5)*(COLUMN($C$1:$BJ$1)-COLUMN($C$1)&lt;Controls!$B$7)*1),0)</f>
        <v>0</v>
      </c>
    </row>
    <row r="19" spans="1:68" ht="18" customHeight="1" x14ac:dyDescent="0.35">
      <c r="A19" s="58" t="s">
        <v>256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</row>
    <row r="20" spans="1:68" ht="18" customHeight="1" x14ac:dyDescent="0.35">
      <c r="A20" s="54" t="s">
        <v>205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</row>
    <row r="21" spans="1:68" x14ac:dyDescent="0.35">
      <c r="A21" s="15" t="s">
        <v>257</v>
      </c>
      <c r="B21" s="20" t="s">
        <v>124</v>
      </c>
      <c r="C21" s="29">
        <f>Headcount!C15</f>
        <v>18847.5</v>
      </c>
      <c r="D21" s="29">
        <f>Headcount!D15</f>
        <v>18847.5</v>
      </c>
      <c r="E21" s="29">
        <f>Headcount!E15</f>
        <v>18847.5</v>
      </c>
      <c r="F21" s="29">
        <f>Headcount!F15</f>
        <v>18847.5</v>
      </c>
      <c r="G21" s="29">
        <f>Headcount!G15</f>
        <v>18847.5</v>
      </c>
      <c r="H21" s="29">
        <f>Headcount!H15</f>
        <v>18847.5</v>
      </c>
      <c r="I21" s="29">
        <f>Headcount!I15</f>
        <v>18847.5</v>
      </c>
      <c r="J21" s="29">
        <f>Headcount!J15</f>
        <v>18847.5</v>
      </c>
      <c r="K21" s="29">
        <f>Headcount!K15</f>
        <v>18847.5</v>
      </c>
      <c r="L21" s="29">
        <f>Headcount!L15</f>
        <v>18847.5</v>
      </c>
      <c r="M21" s="29">
        <f>Headcount!M15</f>
        <v>18847.5</v>
      </c>
      <c r="N21" s="29">
        <f>Headcount!N15</f>
        <v>18847.5</v>
      </c>
      <c r="O21" s="29">
        <f>Headcount!O15</f>
        <v>24501.75</v>
      </c>
      <c r="P21" s="29">
        <f>Headcount!P15</f>
        <v>24501.75</v>
      </c>
      <c r="Q21" s="29">
        <f>Headcount!Q15</f>
        <v>24501.75</v>
      </c>
      <c r="R21" s="29">
        <f>Headcount!R15</f>
        <v>24501.75</v>
      </c>
      <c r="S21" s="29">
        <f>Headcount!S15</f>
        <v>24501.75</v>
      </c>
      <c r="T21" s="29">
        <f>Headcount!T15</f>
        <v>24501.75</v>
      </c>
      <c r="U21" s="29">
        <f>Headcount!U15</f>
        <v>24501.75</v>
      </c>
      <c r="V21" s="29">
        <f>Headcount!V15</f>
        <v>24501.75</v>
      </c>
      <c r="W21" s="29">
        <f>Headcount!W15</f>
        <v>24501.75</v>
      </c>
      <c r="X21" s="29">
        <f>Headcount!X15</f>
        <v>24501.75</v>
      </c>
      <c r="Y21" s="29">
        <f>Headcount!Y15</f>
        <v>24501.75</v>
      </c>
      <c r="Z21" s="29">
        <f>Headcount!Z15</f>
        <v>24501.75</v>
      </c>
      <c r="AA21" s="29">
        <f>Headcount!AA15</f>
        <v>31852.274999999998</v>
      </c>
      <c r="AB21" s="29">
        <f>Headcount!AB15</f>
        <v>31852.274999999998</v>
      </c>
      <c r="AC21" s="29">
        <f>Headcount!AC15</f>
        <v>31852.274999999998</v>
      </c>
      <c r="AD21" s="29">
        <f>Headcount!AD15</f>
        <v>31852.274999999998</v>
      </c>
      <c r="AE21" s="29">
        <f>Headcount!AE15</f>
        <v>31852.274999999998</v>
      </c>
      <c r="AF21" s="29">
        <f>Headcount!AF15</f>
        <v>31852.274999999998</v>
      </c>
      <c r="AG21" s="29">
        <f>Headcount!AG15</f>
        <v>31852.274999999998</v>
      </c>
      <c r="AH21" s="29">
        <f>Headcount!AH15</f>
        <v>31852.274999999998</v>
      </c>
      <c r="AI21" s="29">
        <f>Headcount!AI15</f>
        <v>31852.274999999998</v>
      </c>
      <c r="AJ21" s="29">
        <f>Headcount!AJ15</f>
        <v>31852.274999999998</v>
      </c>
      <c r="AK21" s="29">
        <f>Headcount!AK15</f>
        <v>31852.274999999998</v>
      </c>
      <c r="AL21" s="29">
        <f>Headcount!AL15</f>
        <v>31852.274999999998</v>
      </c>
      <c r="AM21" s="29">
        <f>Headcount!AM15</f>
        <v>0</v>
      </c>
      <c r="AN21" s="29">
        <f>Headcount!AN15</f>
        <v>0</v>
      </c>
      <c r="AO21" s="29">
        <f>Headcount!AO15</f>
        <v>0</v>
      </c>
      <c r="AP21" s="29">
        <f>Headcount!AP15</f>
        <v>0</v>
      </c>
      <c r="AQ21" s="29">
        <f>Headcount!AQ15</f>
        <v>0</v>
      </c>
      <c r="AR21" s="29">
        <f>Headcount!AR15</f>
        <v>0</v>
      </c>
      <c r="AS21" s="29">
        <f>Headcount!AS15</f>
        <v>0</v>
      </c>
      <c r="AT21" s="29">
        <f>Headcount!AT15</f>
        <v>0</v>
      </c>
      <c r="AU21" s="29">
        <f>Headcount!AU15</f>
        <v>0</v>
      </c>
      <c r="AV21" s="29">
        <f>Headcount!AV15</f>
        <v>0</v>
      </c>
      <c r="AW21" s="29">
        <f>Headcount!AW15</f>
        <v>0</v>
      </c>
      <c r="AX21" s="29">
        <f>Headcount!AX15</f>
        <v>0</v>
      </c>
      <c r="AY21" s="29">
        <f>Headcount!AY15</f>
        <v>0</v>
      </c>
      <c r="AZ21" s="29">
        <f>Headcount!AZ15</f>
        <v>0</v>
      </c>
      <c r="BA21" s="29">
        <f>Headcount!BA15</f>
        <v>0</v>
      </c>
      <c r="BB21" s="29">
        <f>Headcount!BB15</f>
        <v>0</v>
      </c>
      <c r="BC21" s="29">
        <f>Headcount!BC15</f>
        <v>0</v>
      </c>
      <c r="BD21" s="29">
        <f>Headcount!BD15</f>
        <v>0</v>
      </c>
      <c r="BE21" s="29">
        <f>Headcount!BE15</f>
        <v>0</v>
      </c>
      <c r="BF21" s="29">
        <f>Headcount!BF15</f>
        <v>0</v>
      </c>
      <c r="BG21" s="29">
        <f>Headcount!BG15</f>
        <v>0</v>
      </c>
      <c r="BH21" s="29">
        <f>Headcount!BH15</f>
        <v>0</v>
      </c>
      <c r="BI21" s="29">
        <f>Headcount!BI15</f>
        <v>0</v>
      </c>
      <c r="BJ21" s="29">
        <f>Headcount!BJ15</f>
        <v>0</v>
      </c>
      <c r="BK21" s="24">
        <f>SUMPRODUCT((YEAR(EDATE(Controls!$B$6,COLUMN($C$1:$BJ$1)-COLUMN($C$1)))=YEAR(Controls!$B$6)+0)*(COLUMN($C$1:$BJ$1)-COLUMN($C$1)&lt;Controls!$B$7)*$C$21:$BJ$21)</f>
        <v>226170</v>
      </c>
      <c r="BL21" s="24">
        <f>SUMPRODUCT((YEAR(EDATE(Controls!$B$6,COLUMN($C$1:$BJ$1)-COLUMN($C$1)))=YEAR(Controls!$B$6)+1)*(COLUMN($C$1:$BJ$1)-COLUMN($C$1)&lt;Controls!$B$7)*$C$21:$BJ$21)</f>
        <v>294021</v>
      </c>
      <c r="BM21" s="24">
        <f>SUMPRODUCT((YEAR(EDATE(Controls!$B$6,COLUMN($C$1:$BJ$1)-COLUMN($C$1)))=YEAR(Controls!$B$6)+2)*(COLUMN($C$1:$BJ$1)-COLUMN($C$1)&lt;Controls!$B$7)*$C$21:$BJ$21)</f>
        <v>382227.30000000005</v>
      </c>
      <c r="BN21" s="24">
        <f>SUMPRODUCT((YEAR(EDATE(Controls!$B$6,COLUMN($C$1:$BJ$1)-COLUMN($C$1)))=YEAR(Controls!$B$6)+3)*(COLUMN($C$1:$BJ$1)-COLUMN($C$1)&lt;Controls!$B$7)*$C$21:$BJ$21)</f>
        <v>0</v>
      </c>
      <c r="BO21" s="24">
        <f>SUMPRODUCT((YEAR(EDATE(Controls!$B$6,COLUMN($C$1:$BJ$1)-COLUMN($C$1)))=YEAR(Controls!$B$6)+4)*(COLUMN($C$1:$BJ$1)-COLUMN($C$1)&lt;Controls!$B$7)*$C$21:$BJ$21)</f>
        <v>0</v>
      </c>
      <c r="BP21" s="24">
        <f>SUMPRODUCT((YEAR(EDATE(Controls!$B$6,COLUMN($C$1:$BJ$1)-COLUMN($C$1)))=YEAR(Controls!$B$6)+5)*(COLUMN($C$1:$BJ$1)-COLUMN($C$1)&lt;Controls!$B$7)*$C$21:$BJ$21)</f>
        <v>0</v>
      </c>
    </row>
    <row r="22" spans="1:68" x14ac:dyDescent="0.35">
      <c r="A22" s="15" t="s">
        <v>258</v>
      </c>
      <c r="B22" s="20" t="s">
        <v>124</v>
      </c>
      <c r="C22" s="29">
        <f>OpEx!C12</f>
        <v>8000</v>
      </c>
      <c r="D22" s="29">
        <f>OpEx!D12</f>
        <v>8000</v>
      </c>
      <c r="E22" s="29">
        <f>OpEx!E12</f>
        <v>8000</v>
      </c>
      <c r="F22" s="29">
        <f>OpEx!F12</f>
        <v>8000</v>
      </c>
      <c r="G22" s="29">
        <f>OpEx!G12</f>
        <v>8000</v>
      </c>
      <c r="H22" s="29">
        <f>OpEx!H12</f>
        <v>8000</v>
      </c>
      <c r="I22" s="29">
        <f>OpEx!I12</f>
        <v>8000</v>
      </c>
      <c r="J22" s="29">
        <f>OpEx!J12</f>
        <v>8000</v>
      </c>
      <c r="K22" s="29">
        <f>OpEx!K12</f>
        <v>8000</v>
      </c>
      <c r="L22" s="29">
        <f>OpEx!L12</f>
        <v>8000</v>
      </c>
      <c r="M22" s="29">
        <f>OpEx!M12</f>
        <v>8000</v>
      </c>
      <c r="N22" s="29">
        <f>OpEx!N12</f>
        <v>8000</v>
      </c>
      <c r="O22" s="29">
        <f>OpEx!O12</f>
        <v>10800</v>
      </c>
      <c r="P22" s="29">
        <f>OpEx!P12</f>
        <v>10800</v>
      </c>
      <c r="Q22" s="29">
        <f>OpEx!Q12</f>
        <v>10800</v>
      </c>
      <c r="R22" s="29">
        <f>OpEx!R12</f>
        <v>10800</v>
      </c>
      <c r="S22" s="29">
        <f>OpEx!S12</f>
        <v>10800</v>
      </c>
      <c r="T22" s="29">
        <f>OpEx!T12</f>
        <v>10800</v>
      </c>
      <c r="U22" s="29">
        <f>OpEx!U12</f>
        <v>10800</v>
      </c>
      <c r="V22" s="29">
        <f>OpEx!V12</f>
        <v>10800</v>
      </c>
      <c r="W22" s="29">
        <f>OpEx!W12</f>
        <v>10800</v>
      </c>
      <c r="X22" s="29">
        <f>OpEx!X12</f>
        <v>10800</v>
      </c>
      <c r="Y22" s="29">
        <f>OpEx!Y12</f>
        <v>10800</v>
      </c>
      <c r="Z22" s="29">
        <f>OpEx!Z12</f>
        <v>10800</v>
      </c>
      <c r="AA22" s="29">
        <f>OpEx!AA12</f>
        <v>14580.000000000002</v>
      </c>
      <c r="AB22" s="29">
        <f>OpEx!AB12</f>
        <v>14580.000000000002</v>
      </c>
      <c r="AC22" s="29">
        <f>OpEx!AC12</f>
        <v>14580.000000000002</v>
      </c>
      <c r="AD22" s="29">
        <f>OpEx!AD12</f>
        <v>14580.000000000002</v>
      </c>
      <c r="AE22" s="29">
        <f>OpEx!AE12</f>
        <v>14580.000000000002</v>
      </c>
      <c r="AF22" s="29">
        <f>OpEx!AF12</f>
        <v>14580.000000000002</v>
      </c>
      <c r="AG22" s="29">
        <f>OpEx!AG12</f>
        <v>14580.000000000002</v>
      </c>
      <c r="AH22" s="29">
        <f>OpEx!AH12</f>
        <v>14580.000000000002</v>
      </c>
      <c r="AI22" s="29">
        <f>OpEx!AI12</f>
        <v>14580.000000000002</v>
      </c>
      <c r="AJ22" s="29">
        <f>OpEx!AJ12</f>
        <v>14580.000000000002</v>
      </c>
      <c r="AK22" s="29">
        <f>OpEx!AK12</f>
        <v>14580.000000000002</v>
      </c>
      <c r="AL22" s="29">
        <f>OpEx!AL12</f>
        <v>14580.000000000002</v>
      </c>
      <c r="AM22" s="29">
        <f>OpEx!AM12</f>
        <v>0</v>
      </c>
      <c r="AN22" s="29">
        <f>OpEx!AN12</f>
        <v>0</v>
      </c>
      <c r="AO22" s="29">
        <f>OpEx!AO12</f>
        <v>0</v>
      </c>
      <c r="AP22" s="29">
        <f>OpEx!AP12</f>
        <v>0</v>
      </c>
      <c r="AQ22" s="29">
        <f>OpEx!AQ12</f>
        <v>0</v>
      </c>
      <c r="AR22" s="29">
        <f>OpEx!AR12</f>
        <v>0</v>
      </c>
      <c r="AS22" s="29">
        <f>OpEx!AS12</f>
        <v>0</v>
      </c>
      <c r="AT22" s="29">
        <f>OpEx!AT12</f>
        <v>0</v>
      </c>
      <c r="AU22" s="29">
        <f>OpEx!AU12</f>
        <v>0</v>
      </c>
      <c r="AV22" s="29">
        <f>OpEx!AV12</f>
        <v>0</v>
      </c>
      <c r="AW22" s="29">
        <f>OpEx!AW12</f>
        <v>0</v>
      </c>
      <c r="AX22" s="29">
        <f>OpEx!AX12</f>
        <v>0</v>
      </c>
      <c r="AY22" s="29">
        <f>OpEx!AY12</f>
        <v>0</v>
      </c>
      <c r="AZ22" s="29">
        <f>OpEx!AZ12</f>
        <v>0</v>
      </c>
      <c r="BA22" s="29">
        <f>OpEx!BA12</f>
        <v>0</v>
      </c>
      <c r="BB22" s="29">
        <f>OpEx!BB12</f>
        <v>0</v>
      </c>
      <c r="BC22" s="29">
        <f>OpEx!BC12</f>
        <v>0</v>
      </c>
      <c r="BD22" s="29">
        <f>OpEx!BD12</f>
        <v>0</v>
      </c>
      <c r="BE22" s="29">
        <f>OpEx!BE12</f>
        <v>0</v>
      </c>
      <c r="BF22" s="29">
        <f>OpEx!BF12</f>
        <v>0</v>
      </c>
      <c r="BG22" s="29">
        <f>OpEx!BG12</f>
        <v>0</v>
      </c>
      <c r="BH22" s="29">
        <f>OpEx!BH12</f>
        <v>0</v>
      </c>
      <c r="BI22" s="29">
        <f>OpEx!BI12</f>
        <v>0</v>
      </c>
      <c r="BJ22" s="29">
        <f>OpEx!BJ12</f>
        <v>0</v>
      </c>
      <c r="BK22" s="24">
        <f>SUMPRODUCT((YEAR(EDATE(Controls!$B$6,COLUMN($C$1:$BJ$1)-COLUMN($C$1)))=YEAR(Controls!$B$6)+0)*(COLUMN($C$1:$BJ$1)-COLUMN($C$1)&lt;Controls!$B$7)*$C$22:$BJ$22)</f>
        <v>96000</v>
      </c>
      <c r="BL22" s="24">
        <f>SUMPRODUCT((YEAR(EDATE(Controls!$B$6,COLUMN($C$1:$BJ$1)-COLUMN($C$1)))=YEAR(Controls!$B$6)+1)*(COLUMN($C$1:$BJ$1)-COLUMN($C$1)&lt;Controls!$B$7)*$C$22:$BJ$22)</f>
        <v>129600</v>
      </c>
      <c r="BM22" s="24">
        <f>SUMPRODUCT((YEAR(EDATE(Controls!$B$6,COLUMN($C$1:$BJ$1)-COLUMN($C$1)))=YEAR(Controls!$B$6)+2)*(COLUMN($C$1:$BJ$1)-COLUMN($C$1)&lt;Controls!$B$7)*$C$22:$BJ$22)</f>
        <v>174960.00000000003</v>
      </c>
      <c r="BN22" s="24">
        <f>SUMPRODUCT((YEAR(EDATE(Controls!$B$6,COLUMN($C$1:$BJ$1)-COLUMN($C$1)))=YEAR(Controls!$B$6)+3)*(COLUMN($C$1:$BJ$1)-COLUMN($C$1)&lt;Controls!$B$7)*$C$22:$BJ$22)</f>
        <v>0</v>
      </c>
      <c r="BO22" s="24">
        <f>SUMPRODUCT((YEAR(EDATE(Controls!$B$6,COLUMN($C$1:$BJ$1)-COLUMN($C$1)))=YEAR(Controls!$B$6)+4)*(COLUMN($C$1:$BJ$1)-COLUMN($C$1)&lt;Controls!$B$7)*$C$22:$BJ$22)</f>
        <v>0</v>
      </c>
      <c r="BP22" s="24">
        <f>SUMPRODUCT((YEAR(EDATE(Controls!$B$6,COLUMN($C$1:$BJ$1)-COLUMN($C$1)))=YEAR(Controls!$B$6)+5)*(COLUMN($C$1:$BJ$1)-COLUMN($C$1)&lt;Controls!$B$7)*$C$22:$BJ$22)</f>
        <v>0</v>
      </c>
    </row>
    <row r="23" spans="1:68" x14ac:dyDescent="0.35">
      <c r="A23" s="15" t="s">
        <v>259</v>
      </c>
      <c r="B23" s="20" t="s">
        <v>124</v>
      </c>
      <c r="C23" s="29">
        <f>OpEx!C13</f>
        <v>1500</v>
      </c>
      <c r="D23" s="29">
        <f>OpEx!D13</f>
        <v>1500</v>
      </c>
      <c r="E23" s="29">
        <f>OpEx!E13</f>
        <v>1500</v>
      </c>
      <c r="F23" s="29">
        <f>OpEx!F13</f>
        <v>1500</v>
      </c>
      <c r="G23" s="29">
        <f>OpEx!G13</f>
        <v>1500</v>
      </c>
      <c r="H23" s="29">
        <f>OpEx!H13</f>
        <v>1500</v>
      </c>
      <c r="I23" s="29">
        <f>OpEx!I13</f>
        <v>1500</v>
      </c>
      <c r="J23" s="29">
        <f>OpEx!J13</f>
        <v>1500</v>
      </c>
      <c r="K23" s="29">
        <f>OpEx!K13</f>
        <v>1500</v>
      </c>
      <c r="L23" s="29">
        <f>OpEx!L13</f>
        <v>1500</v>
      </c>
      <c r="M23" s="29">
        <f>OpEx!M13</f>
        <v>1500</v>
      </c>
      <c r="N23" s="29">
        <f>OpEx!N13</f>
        <v>1500</v>
      </c>
      <c r="O23" s="29">
        <f>OpEx!O13</f>
        <v>2025.0000000000002</v>
      </c>
      <c r="P23" s="29">
        <f>OpEx!P13</f>
        <v>2025.0000000000002</v>
      </c>
      <c r="Q23" s="29">
        <f>OpEx!Q13</f>
        <v>2025.0000000000002</v>
      </c>
      <c r="R23" s="29">
        <f>OpEx!R13</f>
        <v>2025.0000000000002</v>
      </c>
      <c r="S23" s="29">
        <f>OpEx!S13</f>
        <v>2025.0000000000002</v>
      </c>
      <c r="T23" s="29">
        <f>OpEx!T13</f>
        <v>2025.0000000000002</v>
      </c>
      <c r="U23" s="29">
        <f>OpEx!U13</f>
        <v>2025.0000000000002</v>
      </c>
      <c r="V23" s="29">
        <f>OpEx!V13</f>
        <v>2025.0000000000002</v>
      </c>
      <c r="W23" s="29">
        <f>OpEx!W13</f>
        <v>2025.0000000000002</v>
      </c>
      <c r="X23" s="29">
        <f>OpEx!X13</f>
        <v>2025.0000000000002</v>
      </c>
      <c r="Y23" s="29">
        <f>OpEx!Y13</f>
        <v>2025.0000000000002</v>
      </c>
      <c r="Z23" s="29">
        <f>OpEx!Z13</f>
        <v>2025.0000000000002</v>
      </c>
      <c r="AA23" s="29">
        <f>OpEx!AA13</f>
        <v>2733.7500000000005</v>
      </c>
      <c r="AB23" s="29">
        <f>OpEx!AB13</f>
        <v>2733.7500000000005</v>
      </c>
      <c r="AC23" s="29">
        <f>OpEx!AC13</f>
        <v>2733.7500000000005</v>
      </c>
      <c r="AD23" s="29">
        <f>OpEx!AD13</f>
        <v>2733.7500000000005</v>
      </c>
      <c r="AE23" s="29">
        <f>OpEx!AE13</f>
        <v>2733.7500000000005</v>
      </c>
      <c r="AF23" s="29">
        <f>OpEx!AF13</f>
        <v>2733.7500000000005</v>
      </c>
      <c r="AG23" s="29">
        <f>OpEx!AG13</f>
        <v>2733.7500000000005</v>
      </c>
      <c r="AH23" s="29">
        <f>OpEx!AH13</f>
        <v>2733.7500000000005</v>
      </c>
      <c r="AI23" s="29">
        <f>OpEx!AI13</f>
        <v>2733.7500000000005</v>
      </c>
      <c r="AJ23" s="29">
        <f>OpEx!AJ13</f>
        <v>2733.7500000000005</v>
      </c>
      <c r="AK23" s="29">
        <f>OpEx!AK13</f>
        <v>2733.7500000000005</v>
      </c>
      <c r="AL23" s="29">
        <f>OpEx!AL13</f>
        <v>2733.7500000000005</v>
      </c>
      <c r="AM23" s="29">
        <f>OpEx!AM13</f>
        <v>0</v>
      </c>
      <c r="AN23" s="29">
        <f>OpEx!AN13</f>
        <v>0</v>
      </c>
      <c r="AO23" s="29">
        <f>OpEx!AO13</f>
        <v>0</v>
      </c>
      <c r="AP23" s="29">
        <f>OpEx!AP13</f>
        <v>0</v>
      </c>
      <c r="AQ23" s="29">
        <f>OpEx!AQ13</f>
        <v>0</v>
      </c>
      <c r="AR23" s="29">
        <f>OpEx!AR13</f>
        <v>0</v>
      </c>
      <c r="AS23" s="29">
        <f>OpEx!AS13</f>
        <v>0</v>
      </c>
      <c r="AT23" s="29">
        <f>OpEx!AT13</f>
        <v>0</v>
      </c>
      <c r="AU23" s="29">
        <f>OpEx!AU13</f>
        <v>0</v>
      </c>
      <c r="AV23" s="29">
        <f>OpEx!AV13</f>
        <v>0</v>
      </c>
      <c r="AW23" s="29">
        <f>OpEx!AW13</f>
        <v>0</v>
      </c>
      <c r="AX23" s="29">
        <f>OpEx!AX13</f>
        <v>0</v>
      </c>
      <c r="AY23" s="29">
        <f>OpEx!AY13</f>
        <v>0</v>
      </c>
      <c r="AZ23" s="29">
        <f>OpEx!AZ13</f>
        <v>0</v>
      </c>
      <c r="BA23" s="29">
        <f>OpEx!BA13</f>
        <v>0</v>
      </c>
      <c r="BB23" s="29">
        <f>OpEx!BB13</f>
        <v>0</v>
      </c>
      <c r="BC23" s="29">
        <f>OpEx!BC13</f>
        <v>0</v>
      </c>
      <c r="BD23" s="29">
        <f>OpEx!BD13</f>
        <v>0</v>
      </c>
      <c r="BE23" s="29">
        <f>OpEx!BE13</f>
        <v>0</v>
      </c>
      <c r="BF23" s="29">
        <f>OpEx!BF13</f>
        <v>0</v>
      </c>
      <c r="BG23" s="29">
        <f>OpEx!BG13</f>
        <v>0</v>
      </c>
      <c r="BH23" s="29">
        <f>OpEx!BH13</f>
        <v>0</v>
      </c>
      <c r="BI23" s="29">
        <f>OpEx!BI13</f>
        <v>0</v>
      </c>
      <c r="BJ23" s="29">
        <f>OpEx!BJ13</f>
        <v>0</v>
      </c>
      <c r="BK23" s="24">
        <f>SUMPRODUCT((YEAR(EDATE(Controls!$B$6,COLUMN($C$1:$BJ$1)-COLUMN($C$1)))=YEAR(Controls!$B$6)+0)*(COLUMN($C$1:$BJ$1)-COLUMN($C$1)&lt;Controls!$B$7)*$C$23:$BJ$23)</f>
        <v>18000</v>
      </c>
      <c r="BL23" s="24">
        <f>SUMPRODUCT((YEAR(EDATE(Controls!$B$6,COLUMN($C$1:$BJ$1)-COLUMN($C$1)))=YEAR(Controls!$B$6)+1)*(COLUMN($C$1:$BJ$1)-COLUMN($C$1)&lt;Controls!$B$7)*$C$23:$BJ$23)</f>
        <v>24300.000000000004</v>
      </c>
      <c r="BM23" s="24">
        <f>SUMPRODUCT((YEAR(EDATE(Controls!$B$6,COLUMN($C$1:$BJ$1)-COLUMN($C$1)))=YEAR(Controls!$B$6)+2)*(COLUMN($C$1:$BJ$1)-COLUMN($C$1)&lt;Controls!$B$7)*$C$23:$BJ$23)</f>
        <v>32805.000000000007</v>
      </c>
      <c r="BN23" s="24">
        <f>SUMPRODUCT((YEAR(EDATE(Controls!$B$6,COLUMN($C$1:$BJ$1)-COLUMN($C$1)))=YEAR(Controls!$B$6)+3)*(COLUMN($C$1:$BJ$1)-COLUMN($C$1)&lt;Controls!$B$7)*$C$23:$BJ$23)</f>
        <v>0</v>
      </c>
      <c r="BO23" s="24">
        <f>SUMPRODUCT((YEAR(EDATE(Controls!$B$6,COLUMN($C$1:$BJ$1)-COLUMN($C$1)))=YEAR(Controls!$B$6)+4)*(COLUMN($C$1:$BJ$1)-COLUMN($C$1)&lt;Controls!$B$7)*$C$23:$BJ$23)</f>
        <v>0</v>
      </c>
      <c r="BP23" s="24">
        <f>SUMPRODUCT((YEAR(EDATE(Controls!$B$6,COLUMN($C$1:$BJ$1)-COLUMN($C$1)))=YEAR(Controls!$B$6)+5)*(COLUMN($C$1:$BJ$1)-COLUMN($C$1)&lt;Controls!$B$7)*$C$23:$BJ$23)</f>
        <v>0</v>
      </c>
    </row>
    <row r="24" spans="1:68" x14ac:dyDescent="0.35">
      <c r="A24" s="15" t="s">
        <v>260</v>
      </c>
      <c r="B24" s="20" t="s">
        <v>124</v>
      </c>
      <c r="C24" s="29">
        <f>OpEx!C14</f>
        <v>2000</v>
      </c>
      <c r="D24" s="29">
        <f>OpEx!D14</f>
        <v>2000</v>
      </c>
      <c r="E24" s="29">
        <f>OpEx!E14</f>
        <v>2000</v>
      </c>
      <c r="F24" s="29">
        <f>OpEx!F14</f>
        <v>2000</v>
      </c>
      <c r="G24" s="29">
        <f>OpEx!G14</f>
        <v>2000</v>
      </c>
      <c r="H24" s="29">
        <f>OpEx!H14</f>
        <v>2000</v>
      </c>
      <c r="I24" s="29">
        <f>OpEx!I14</f>
        <v>2000</v>
      </c>
      <c r="J24" s="29">
        <f>OpEx!J14</f>
        <v>2000</v>
      </c>
      <c r="K24" s="29">
        <f>OpEx!K14</f>
        <v>2000</v>
      </c>
      <c r="L24" s="29">
        <f>OpEx!L14</f>
        <v>2000</v>
      </c>
      <c r="M24" s="29">
        <f>OpEx!M14</f>
        <v>2000</v>
      </c>
      <c r="N24" s="29">
        <f>OpEx!N14</f>
        <v>2000</v>
      </c>
      <c r="O24" s="29">
        <f>OpEx!O14</f>
        <v>2700</v>
      </c>
      <c r="P24" s="29">
        <f>OpEx!P14</f>
        <v>2700</v>
      </c>
      <c r="Q24" s="29">
        <f>OpEx!Q14</f>
        <v>2700</v>
      </c>
      <c r="R24" s="29">
        <f>OpEx!R14</f>
        <v>2700</v>
      </c>
      <c r="S24" s="29">
        <f>OpEx!S14</f>
        <v>2700</v>
      </c>
      <c r="T24" s="29">
        <f>OpEx!T14</f>
        <v>2700</v>
      </c>
      <c r="U24" s="29">
        <f>OpEx!U14</f>
        <v>2700</v>
      </c>
      <c r="V24" s="29">
        <f>OpEx!V14</f>
        <v>2700</v>
      </c>
      <c r="W24" s="29">
        <f>OpEx!W14</f>
        <v>2700</v>
      </c>
      <c r="X24" s="29">
        <f>OpEx!X14</f>
        <v>2700</v>
      </c>
      <c r="Y24" s="29">
        <f>OpEx!Y14</f>
        <v>2700</v>
      </c>
      <c r="Z24" s="29">
        <f>OpEx!Z14</f>
        <v>2700</v>
      </c>
      <c r="AA24" s="29">
        <f>OpEx!AA14</f>
        <v>3645.0000000000005</v>
      </c>
      <c r="AB24" s="29">
        <f>OpEx!AB14</f>
        <v>3645.0000000000005</v>
      </c>
      <c r="AC24" s="29">
        <f>OpEx!AC14</f>
        <v>3645.0000000000005</v>
      </c>
      <c r="AD24" s="29">
        <f>OpEx!AD14</f>
        <v>3645.0000000000005</v>
      </c>
      <c r="AE24" s="29">
        <f>OpEx!AE14</f>
        <v>3645.0000000000005</v>
      </c>
      <c r="AF24" s="29">
        <f>OpEx!AF14</f>
        <v>3645.0000000000005</v>
      </c>
      <c r="AG24" s="29">
        <f>OpEx!AG14</f>
        <v>3645.0000000000005</v>
      </c>
      <c r="AH24" s="29">
        <f>OpEx!AH14</f>
        <v>3645.0000000000005</v>
      </c>
      <c r="AI24" s="29">
        <f>OpEx!AI14</f>
        <v>3645.0000000000005</v>
      </c>
      <c r="AJ24" s="29">
        <f>OpEx!AJ14</f>
        <v>3645.0000000000005</v>
      </c>
      <c r="AK24" s="29">
        <f>OpEx!AK14</f>
        <v>3645.0000000000005</v>
      </c>
      <c r="AL24" s="29">
        <f>OpEx!AL14</f>
        <v>3645.0000000000005</v>
      </c>
      <c r="AM24" s="29">
        <f>OpEx!AM14</f>
        <v>0</v>
      </c>
      <c r="AN24" s="29">
        <f>OpEx!AN14</f>
        <v>0</v>
      </c>
      <c r="AO24" s="29">
        <f>OpEx!AO14</f>
        <v>0</v>
      </c>
      <c r="AP24" s="29">
        <f>OpEx!AP14</f>
        <v>0</v>
      </c>
      <c r="AQ24" s="29">
        <f>OpEx!AQ14</f>
        <v>0</v>
      </c>
      <c r="AR24" s="29">
        <f>OpEx!AR14</f>
        <v>0</v>
      </c>
      <c r="AS24" s="29">
        <f>OpEx!AS14</f>
        <v>0</v>
      </c>
      <c r="AT24" s="29">
        <f>OpEx!AT14</f>
        <v>0</v>
      </c>
      <c r="AU24" s="29">
        <f>OpEx!AU14</f>
        <v>0</v>
      </c>
      <c r="AV24" s="29">
        <f>OpEx!AV14</f>
        <v>0</v>
      </c>
      <c r="AW24" s="29">
        <f>OpEx!AW14</f>
        <v>0</v>
      </c>
      <c r="AX24" s="29">
        <f>OpEx!AX14</f>
        <v>0</v>
      </c>
      <c r="AY24" s="29">
        <f>OpEx!AY14</f>
        <v>0</v>
      </c>
      <c r="AZ24" s="29">
        <f>OpEx!AZ14</f>
        <v>0</v>
      </c>
      <c r="BA24" s="29">
        <f>OpEx!BA14</f>
        <v>0</v>
      </c>
      <c r="BB24" s="29">
        <f>OpEx!BB14</f>
        <v>0</v>
      </c>
      <c r="BC24" s="29">
        <f>OpEx!BC14</f>
        <v>0</v>
      </c>
      <c r="BD24" s="29">
        <f>OpEx!BD14</f>
        <v>0</v>
      </c>
      <c r="BE24" s="29">
        <f>OpEx!BE14</f>
        <v>0</v>
      </c>
      <c r="BF24" s="29">
        <f>OpEx!BF14</f>
        <v>0</v>
      </c>
      <c r="BG24" s="29">
        <f>OpEx!BG14</f>
        <v>0</v>
      </c>
      <c r="BH24" s="29">
        <f>OpEx!BH14</f>
        <v>0</v>
      </c>
      <c r="BI24" s="29">
        <f>OpEx!BI14</f>
        <v>0</v>
      </c>
      <c r="BJ24" s="29">
        <f>OpEx!BJ14</f>
        <v>0</v>
      </c>
      <c r="BK24" s="24">
        <f>SUMPRODUCT((YEAR(EDATE(Controls!$B$6,COLUMN($C$1:$BJ$1)-COLUMN($C$1)))=YEAR(Controls!$B$6)+0)*(COLUMN($C$1:$BJ$1)-COLUMN($C$1)&lt;Controls!$B$7)*$C$24:$BJ$24)</f>
        <v>24000</v>
      </c>
      <c r="BL24" s="24">
        <f>SUMPRODUCT((YEAR(EDATE(Controls!$B$6,COLUMN($C$1:$BJ$1)-COLUMN($C$1)))=YEAR(Controls!$B$6)+1)*(COLUMN($C$1:$BJ$1)-COLUMN($C$1)&lt;Controls!$B$7)*$C$24:$BJ$24)</f>
        <v>32400</v>
      </c>
      <c r="BM24" s="24">
        <f>SUMPRODUCT((YEAR(EDATE(Controls!$B$6,COLUMN($C$1:$BJ$1)-COLUMN($C$1)))=YEAR(Controls!$B$6)+2)*(COLUMN($C$1:$BJ$1)-COLUMN($C$1)&lt;Controls!$B$7)*$C$24:$BJ$24)</f>
        <v>43740.000000000007</v>
      </c>
      <c r="BN24" s="24">
        <f>SUMPRODUCT((YEAR(EDATE(Controls!$B$6,COLUMN($C$1:$BJ$1)-COLUMN($C$1)))=YEAR(Controls!$B$6)+3)*(COLUMN($C$1:$BJ$1)-COLUMN($C$1)&lt;Controls!$B$7)*$C$24:$BJ$24)</f>
        <v>0</v>
      </c>
      <c r="BO24" s="24">
        <f>SUMPRODUCT((YEAR(EDATE(Controls!$B$6,COLUMN($C$1:$BJ$1)-COLUMN($C$1)))=YEAR(Controls!$B$6)+4)*(COLUMN($C$1:$BJ$1)-COLUMN($C$1)&lt;Controls!$B$7)*$C$24:$BJ$24)</f>
        <v>0</v>
      </c>
      <c r="BP24" s="24">
        <f>SUMPRODUCT((YEAR(EDATE(Controls!$B$6,COLUMN($C$1:$BJ$1)-COLUMN($C$1)))=YEAR(Controls!$B$6)+5)*(COLUMN($C$1:$BJ$1)-COLUMN($C$1)&lt;Controls!$B$7)*$C$24:$BJ$24)</f>
        <v>0</v>
      </c>
    </row>
    <row r="25" spans="1:68" x14ac:dyDescent="0.35">
      <c r="A25" s="6" t="s">
        <v>261</v>
      </c>
      <c r="B25" s="20" t="s">
        <v>124</v>
      </c>
      <c r="C25" s="24">
        <f t="shared" ref="C25:AH25" si="10">C21+C22+C23+C24</f>
        <v>30347.5</v>
      </c>
      <c r="D25" s="24">
        <f t="shared" si="10"/>
        <v>30347.5</v>
      </c>
      <c r="E25" s="24">
        <f t="shared" si="10"/>
        <v>30347.5</v>
      </c>
      <c r="F25" s="24">
        <f t="shared" si="10"/>
        <v>30347.5</v>
      </c>
      <c r="G25" s="24">
        <f t="shared" si="10"/>
        <v>30347.5</v>
      </c>
      <c r="H25" s="24">
        <f t="shared" si="10"/>
        <v>30347.5</v>
      </c>
      <c r="I25" s="24">
        <f t="shared" si="10"/>
        <v>30347.5</v>
      </c>
      <c r="J25" s="24">
        <f t="shared" si="10"/>
        <v>30347.5</v>
      </c>
      <c r="K25" s="24">
        <f t="shared" si="10"/>
        <v>30347.5</v>
      </c>
      <c r="L25" s="24">
        <f t="shared" si="10"/>
        <v>30347.5</v>
      </c>
      <c r="M25" s="24">
        <f t="shared" si="10"/>
        <v>30347.5</v>
      </c>
      <c r="N25" s="24">
        <f t="shared" si="10"/>
        <v>30347.5</v>
      </c>
      <c r="O25" s="24">
        <f t="shared" si="10"/>
        <v>40026.75</v>
      </c>
      <c r="P25" s="24">
        <f t="shared" si="10"/>
        <v>40026.75</v>
      </c>
      <c r="Q25" s="24">
        <f t="shared" si="10"/>
        <v>40026.75</v>
      </c>
      <c r="R25" s="24">
        <f t="shared" si="10"/>
        <v>40026.75</v>
      </c>
      <c r="S25" s="24">
        <f t="shared" si="10"/>
        <v>40026.75</v>
      </c>
      <c r="T25" s="24">
        <f t="shared" si="10"/>
        <v>40026.75</v>
      </c>
      <c r="U25" s="24">
        <f t="shared" si="10"/>
        <v>40026.75</v>
      </c>
      <c r="V25" s="24">
        <f t="shared" si="10"/>
        <v>40026.75</v>
      </c>
      <c r="W25" s="24">
        <f t="shared" si="10"/>
        <v>40026.75</v>
      </c>
      <c r="X25" s="24">
        <f t="shared" si="10"/>
        <v>40026.75</v>
      </c>
      <c r="Y25" s="24">
        <f t="shared" si="10"/>
        <v>40026.75</v>
      </c>
      <c r="Z25" s="24">
        <f t="shared" si="10"/>
        <v>40026.75</v>
      </c>
      <c r="AA25" s="24">
        <f t="shared" si="10"/>
        <v>52811.025000000001</v>
      </c>
      <c r="AB25" s="24">
        <f t="shared" si="10"/>
        <v>52811.025000000001</v>
      </c>
      <c r="AC25" s="24">
        <f t="shared" si="10"/>
        <v>52811.025000000001</v>
      </c>
      <c r="AD25" s="24">
        <f t="shared" si="10"/>
        <v>52811.025000000001</v>
      </c>
      <c r="AE25" s="24">
        <f t="shared" si="10"/>
        <v>52811.025000000001</v>
      </c>
      <c r="AF25" s="24">
        <f t="shared" si="10"/>
        <v>52811.025000000001</v>
      </c>
      <c r="AG25" s="24">
        <f t="shared" si="10"/>
        <v>52811.025000000001</v>
      </c>
      <c r="AH25" s="24">
        <f t="shared" si="10"/>
        <v>52811.025000000001</v>
      </c>
      <c r="AI25" s="24">
        <f t="shared" ref="AI25:BJ25" si="11">AI21+AI22+AI23+AI24</f>
        <v>52811.025000000001</v>
      </c>
      <c r="AJ25" s="24">
        <f t="shared" si="11"/>
        <v>52811.025000000001</v>
      </c>
      <c r="AK25" s="24">
        <f t="shared" si="11"/>
        <v>52811.025000000001</v>
      </c>
      <c r="AL25" s="24">
        <f t="shared" si="11"/>
        <v>52811.025000000001</v>
      </c>
      <c r="AM25" s="24">
        <f t="shared" si="11"/>
        <v>0</v>
      </c>
      <c r="AN25" s="24">
        <f t="shared" si="11"/>
        <v>0</v>
      </c>
      <c r="AO25" s="24">
        <f t="shared" si="11"/>
        <v>0</v>
      </c>
      <c r="AP25" s="24">
        <f t="shared" si="11"/>
        <v>0</v>
      </c>
      <c r="AQ25" s="24">
        <f t="shared" si="11"/>
        <v>0</v>
      </c>
      <c r="AR25" s="24">
        <f t="shared" si="11"/>
        <v>0</v>
      </c>
      <c r="AS25" s="24">
        <f t="shared" si="11"/>
        <v>0</v>
      </c>
      <c r="AT25" s="24">
        <f t="shared" si="11"/>
        <v>0</v>
      </c>
      <c r="AU25" s="24">
        <f t="shared" si="11"/>
        <v>0</v>
      </c>
      <c r="AV25" s="24">
        <f t="shared" si="11"/>
        <v>0</v>
      </c>
      <c r="AW25" s="24">
        <f t="shared" si="11"/>
        <v>0</v>
      </c>
      <c r="AX25" s="24">
        <f t="shared" si="11"/>
        <v>0</v>
      </c>
      <c r="AY25" s="24">
        <f t="shared" si="11"/>
        <v>0</v>
      </c>
      <c r="AZ25" s="24">
        <f t="shared" si="11"/>
        <v>0</v>
      </c>
      <c r="BA25" s="24">
        <f t="shared" si="11"/>
        <v>0</v>
      </c>
      <c r="BB25" s="24">
        <f t="shared" si="11"/>
        <v>0</v>
      </c>
      <c r="BC25" s="24">
        <f t="shared" si="11"/>
        <v>0</v>
      </c>
      <c r="BD25" s="24">
        <f t="shared" si="11"/>
        <v>0</v>
      </c>
      <c r="BE25" s="24">
        <f t="shared" si="11"/>
        <v>0</v>
      </c>
      <c r="BF25" s="24">
        <f t="shared" si="11"/>
        <v>0</v>
      </c>
      <c r="BG25" s="24">
        <f t="shared" si="11"/>
        <v>0</v>
      </c>
      <c r="BH25" s="24">
        <f t="shared" si="11"/>
        <v>0</v>
      </c>
      <c r="BI25" s="24">
        <f t="shared" si="11"/>
        <v>0</v>
      </c>
      <c r="BJ25" s="24">
        <f t="shared" si="11"/>
        <v>0</v>
      </c>
      <c r="BK25" s="24">
        <f>SUMPRODUCT((YEAR(EDATE(Controls!$B$6,COLUMN($C$1:$BJ$1)-COLUMN($C$1)))=YEAR(Controls!$B$6)+0)*(COLUMN($C$1:$BJ$1)-COLUMN($C$1)&lt;Controls!$B$7)*$C$25:$BJ$25)</f>
        <v>364170</v>
      </c>
      <c r="BL25" s="24">
        <f>SUMPRODUCT((YEAR(EDATE(Controls!$B$6,COLUMN($C$1:$BJ$1)-COLUMN($C$1)))=YEAR(Controls!$B$6)+1)*(COLUMN($C$1:$BJ$1)-COLUMN($C$1)&lt;Controls!$B$7)*$C$25:$BJ$25)</f>
        <v>480321</v>
      </c>
      <c r="BM25" s="24">
        <f>SUMPRODUCT((YEAR(EDATE(Controls!$B$6,COLUMN($C$1:$BJ$1)-COLUMN($C$1)))=YEAR(Controls!$B$6)+2)*(COLUMN($C$1:$BJ$1)-COLUMN($C$1)&lt;Controls!$B$7)*$C$25:$BJ$25)</f>
        <v>633732.30000000016</v>
      </c>
      <c r="BN25" s="24">
        <f>SUMPRODUCT((YEAR(EDATE(Controls!$B$6,COLUMN($C$1:$BJ$1)-COLUMN($C$1)))=YEAR(Controls!$B$6)+3)*(COLUMN($C$1:$BJ$1)-COLUMN($C$1)&lt;Controls!$B$7)*$C$25:$BJ$25)</f>
        <v>0</v>
      </c>
      <c r="BO25" s="24">
        <f>SUMPRODUCT((YEAR(EDATE(Controls!$B$6,COLUMN($C$1:$BJ$1)-COLUMN($C$1)))=YEAR(Controls!$B$6)+4)*(COLUMN($C$1:$BJ$1)-COLUMN($C$1)&lt;Controls!$B$7)*$C$25:$BJ$25)</f>
        <v>0</v>
      </c>
      <c r="BP25" s="24">
        <f>SUMPRODUCT((YEAR(EDATE(Controls!$B$6,COLUMN($C$1:$BJ$1)-COLUMN($C$1)))=YEAR(Controls!$B$6)+5)*(COLUMN($C$1:$BJ$1)-COLUMN($C$1)&lt;Controls!$B$7)*$C$25:$BJ$25)</f>
        <v>0</v>
      </c>
    </row>
    <row r="27" spans="1:68" ht="18" customHeight="1" x14ac:dyDescent="0.35">
      <c r="A27" s="54" t="s">
        <v>209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</row>
    <row r="28" spans="1:68" x14ac:dyDescent="0.35">
      <c r="A28" s="15" t="s">
        <v>262</v>
      </c>
      <c r="B28" s="20" t="s">
        <v>124</v>
      </c>
      <c r="C28" s="29">
        <f>Headcount!C20</f>
        <v>25130</v>
      </c>
      <c r="D28" s="29">
        <f>Headcount!D20</f>
        <v>25130</v>
      </c>
      <c r="E28" s="29">
        <f>Headcount!E20</f>
        <v>25130</v>
      </c>
      <c r="F28" s="29">
        <f>Headcount!F20</f>
        <v>25130</v>
      </c>
      <c r="G28" s="29">
        <f>Headcount!G20</f>
        <v>25130</v>
      </c>
      <c r="H28" s="29">
        <f>Headcount!H20</f>
        <v>25130</v>
      </c>
      <c r="I28" s="29">
        <f>Headcount!I20</f>
        <v>25130</v>
      </c>
      <c r="J28" s="29">
        <f>Headcount!J20</f>
        <v>25130</v>
      </c>
      <c r="K28" s="29">
        <f>Headcount!K20</f>
        <v>25130</v>
      </c>
      <c r="L28" s="29">
        <f>Headcount!L20</f>
        <v>25130</v>
      </c>
      <c r="M28" s="29">
        <f>Headcount!M20</f>
        <v>25130</v>
      </c>
      <c r="N28" s="29">
        <f>Headcount!N20</f>
        <v>25130</v>
      </c>
      <c r="O28" s="29">
        <f>Headcount!O20</f>
        <v>31412.5</v>
      </c>
      <c r="P28" s="29">
        <f>Headcount!P20</f>
        <v>31412.5</v>
      </c>
      <c r="Q28" s="29">
        <f>Headcount!Q20</f>
        <v>31412.5</v>
      </c>
      <c r="R28" s="29">
        <f>Headcount!R20</f>
        <v>31412.5</v>
      </c>
      <c r="S28" s="29">
        <f>Headcount!S20</f>
        <v>31412.5</v>
      </c>
      <c r="T28" s="29">
        <f>Headcount!T20</f>
        <v>31412.5</v>
      </c>
      <c r="U28" s="29">
        <f>Headcount!U20</f>
        <v>31412.5</v>
      </c>
      <c r="V28" s="29">
        <f>Headcount!V20</f>
        <v>31412.5</v>
      </c>
      <c r="W28" s="29">
        <f>Headcount!W20</f>
        <v>31412.5</v>
      </c>
      <c r="X28" s="29">
        <f>Headcount!X20</f>
        <v>31412.5</v>
      </c>
      <c r="Y28" s="29">
        <f>Headcount!Y20</f>
        <v>31412.5</v>
      </c>
      <c r="Z28" s="29">
        <f>Headcount!Z20</f>
        <v>31412.5</v>
      </c>
      <c r="AA28" s="29">
        <f>Headcount!AA20</f>
        <v>39265.625</v>
      </c>
      <c r="AB28" s="29">
        <f>Headcount!AB20</f>
        <v>39265.625</v>
      </c>
      <c r="AC28" s="29">
        <f>Headcount!AC20</f>
        <v>39265.625</v>
      </c>
      <c r="AD28" s="29">
        <f>Headcount!AD20</f>
        <v>39265.625</v>
      </c>
      <c r="AE28" s="29">
        <f>Headcount!AE20</f>
        <v>39265.625</v>
      </c>
      <c r="AF28" s="29">
        <f>Headcount!AF20</f>
        <v>39265.625</v>
      </c>
      <c r="AG28" s="29">
        <f>Headcount!AG20</f>
        <v>39265.625</v>
      </c>
      <c r="AH28" s="29">
        <f>Headcount!AH20</f>
        <v>39265.625</v>
      </c>
      <c r="AI28" s="29">
        <f>Headcount!AI20</f>
        <v>39265.625</v>
      </c>
      <c r="AJ28" s="29">
        <f>Headcount!AJ20</f>
        <v>39265.625</v>
      </c>
      <c r="AK28" s="29">
        <f>Headcount!AK20</f>
        <v>39265.625</v>
      </c>
      <c r="AL28" s="29">
        <f>Headcount!AL20</f>
        <v>39265.625</v>
      </c>
      <c r="AM28" s="29">
        <f>Headcount!AM20</f>
        <v>0</v>
      </c>
      <c r="AN28" s="29">
        <f>Headcount!AN20</f>
        <v>0</v>
      </c>
      <c r="AO28" s="29">
        <f>Headcount!AO20</f>
        <v>0</v>
      </c>
      <c r="AP28" s="29">
        <f>Headcount!AP20</f>
        <v>0</v>
      </c>
      <c r="AQ28" s="29">
        <f>Headcount!AQ20</f>
        <v>0</v>
      </c>
      <c r="AR28" s="29">
        <f>Headcount!AR20</f>
        <v>0</v>
      </c>
      <c r="AS28" s="29">
        <f>Headcount!AS20</f>
        <v>0</v>
      </c>
      <c r="AT28" s="29">
        <f>Headcount!AT20</f>
        <v>0</v>
      </c>
      <c r="AU28" s="29">
        <f>Headcount!AU20</f>
        <v>0</v>
      </c>
      <c r="AV28" s="29">
        <f>Headcount!AV20</f>
        <v>0</v>
      </c>
      <c r="AW28" s="29">
        <f>Headcount!AW20</f>
        <v>0</v>
      </c>
      <c r="AX28" s="29">
        <f>Headcount!AX20</f>
        <v>0</v>
      </c>
      <c r="AY28" s="29">
        <f>Headcount!AY20</f>
        <v>0</v>
      </c>
      <c r="AZ28" s="29">
        <f>Headcount!AZ20</f>
        <v>0</v>
      </c>
      <c r="BA28" s="29">
        <f>Headcount!BA20</f>
        <v>0</v>
      </c>
      <c r="BB28" s="29">
        <f>Headcount!BB20</f>
        <v>0</v>
      </c>
      <c r="BC28" s="29">
        <f>Headcount!BC20</f>
        <v>0</v>
      </c>
      <c r="BD28" s="29">
        <f>Headcount!BD20</f>
        <v>0</v>
      </c>
      <c r="BE28" s="29">
        <f>Headcount!BE20</f>
        <v>0</v>
      </c>
      <c r="BF28" s="29">
        <f>Headcount!BF20</f>
        <v>0</v>
      </c>
      <c r="BG28" s="29">
        <f>Headcount!BG20</f>
        <v>0</v>
      </c>
      <c r="BH28" s="29">
        <f>Headcount!BH20</f>
        <v>0</v>
      </c>
      <c r="BI28" s="29">
        <f>Headcount!BI20</f>
        <v>0</v>
      </c>
      <c r="BJ28" s="29">
        <f>Headcount!BJ20</f>
        <v>0</v>
      </c>
      <c r="BK28" s="24">
        <f>SUMPRODUCT((YEAR(EDATE(Controls!$B$6,COLUMN($C$1:$BJ$1)-COLUMN($C$1)))=YEAR(Controls!$B$6)+0)*(COLUMN($C$1:$BJ$1)-COLUMN($C$1)&lt;Controls!$B$7)*$C$28:$BJ$28)</f>
        <v>301560</v>
      </c>
      <c r="BL28" s="24">
        <f>SUMPRODUCT((YEAR(EDATE(Controls!$B$6,COLUMN($C$1:$BJ$1)-COLUMN($C$1)))=YEAR(Controls!$B$6)+1)*(COLUMN($C$1:$BJ$1)-COLUMN($C$1)&lt;Controls!$B$7)*$C$28:$BJ$28)</f>
        <v>376950</v>
      </c>
      <c r="BM28" s="24">
        <f>SUMPRODUCT((YEAR(EDATE(Controls!$B$6,COLUMN($C$1:$BJ$1)-COLUMN($C$1)))=YEAR(Controls!$B$6)+2)*(COLUMN($C$1:$BJ$1)-COLUMN($C$1)&lt;Controls!$B$7)*$C$28:$BJ$28)</f>
        <v>471187.5</v>
      </c>
      <c r="BN28" s="24">
        <f>SUMPRODUCT((YEAR(EDATE(Controls!$B$6,COLUMN($C$1:$BJ$1)-COLUMN($C$1)))=YEAR(Controls!$B$6)+3)*(COLUMN($C$1:$BJ$1)-COLUMN($C$1)&lt;Controls!$B$7)*$C$28:$BJ$28)</f>
        <v>0</v>
      </c>
      <c r="BO28" s="24">
        <f>SUMPRODUCT((YEAR(EDATE(Controls!$B$6,COLUMN($C$1:$BJ$1)-COLUMN($C$1)))=YEAR(Controls!$B$6)+4)*(COLUMN($C$1:$BJ$1)-COLUMN($C$1)&lt;Controls!$B$7)*$C$28:$BJ$28)</f>
        <v>0</v>
      </c>
      <c r="BP28" s="24">
        <f>SUMPRODUCT((YEAR(EDATE(Controls!$B$6,COLUMN($C$1:$BJ$1)-COLUMN($C$1)))=YEAR(Controls!$B$6)+5)*(COLUMN($C$1:$BJ$1)-COLUMN($C$1)&lt;Controls!$B$7)*$C$28:$BJ$28)</f>
        <v>0</v>
      </c>
    </row>
    <row r="29" spans="1:68" x14ac:dyDescent="0.35">
      <c r="A29" s="15" t="s">
        <v>263</v>
      </c>
      <c r="B29" s="20" t="s">
        <v>124</v>
      </c>
      <c r="C29" s="29">
        <f>OpEx!C17</f>
        <v>2000</v>
      </c>
      <c r="D29" s="29">
        <f>OpEx!D17</f>
        <v>2000</v>
      </c>
      <c r="E29" s="29">
        <f>OpEx!E17</f>
        <v>2000</v>
      </c>
      <c r="F29" s="29">
        <f>OpEx!F17</f>
        <v>2000</v>
      </c>
      <c r="G29" s="29">
        <f>OpEx!G17</f>
        <v>2000</v>
      </c>
      <c r="H29" s="29">
        <f>OpEx!H17</f>
        <v>2000</v>
      </c>
      <c r="I29" s="29">
        <f>OpEx!I17</f>
        <v>2000</v>
      </c>
      <c r="J29" s="29">
        <f>OpEx!J17</f>
        <v>2000</v>
      </c>
      <c r="K29" s="29">
        <f>OpEx!K17</f>
        <v>2000</v>
      </c>
      <c r="L29" s="29">
        <f>OpEx!L17</f>
        <v>2000</v>
      </c>
      <c r="M29" s="29">
        <f>OpEx!M17</f>
        <v>2000</v>
      </c>
      <c r="N29" s="29">
        <f>OpEx!N17</f>
        <v>2000</v>
      </c>
      <c r="O29" s="29">
        <f>OpEx!O17</f>
        <v>2500</v>
      </c>
      <c r="P29" s="29">
        <f>OpEx!P17</f>
        <v>2500</v>
      </c>
      <c r="Q29" s="29">
        <f>OpEx!Q17</f>
        <v>2500</v>
      </c>
      <c r="R29" s="29">
        <f>OpEx!R17</f>
        <v>2500</v>
      </c>
      <c r="S29" s="29">
        <f>OpEx!S17</f>
        <v>2500</v>
      </c>
      <c r="T29" s="29">
        <f>OpEx!T17</f>
        <v>2500</v>
      </c>
      <c r="U29" s="29">
        <f>OpEx!U17</f>
        <v>2500</v>
      </c>
      <c r="V29" s="29">
        <f>OpEx!V17</f>
        <v>2500</v>
      </c>
      <c r="W29" s="29">
        <f>OpEx!W17</f>
        <v>2500</v>
      </c>
      <c r="X29" s="29">
        <f>OpEx!X17</f>
        <v>2500</v>
      </c>
      <c r="Y29" s="29">
        <f>OpEx!Y17</f>
        <v>2500</v>
      </c>
      <c r="Z29" s="29">
        <f>OpEx!Z17</f>
        <v>2500</v>
      </c>
      <c r="AA29" s="29">
        <f>OpEx!AA17</f>
        <v>3125</v>
      </c>
      <c r="AB29" s="29">
        <f>OpEx!AB17</f>
        <v>3125</v>
      </c>
      <c r="AC29" s="29">
        <f>OpEx!AC17</f>
        <v>3125</v>
      </c>
      <c r="AD29" s="29">
        <f>OpEx!AD17</f>
        <v>3125</v>
      </c>
      <c r="AE29" s="29">
        <f>OpEx!AE17</f>
        <v>3125</v>
      </c>
      <c r="AF29" s="29">
        <f>OpEx!AF17</f>
        <v>3125</v>
      </c>
      <c r="AG29" s="29">
        <f>OpEx!AG17</f>
        <v>3125</v>
      </c>
      <c r="AH29" s="29">
        <f>OpEx!AH17</f>
        <v>3125</v>
      </c>
      <c r="AI29" s="29">
        <f>OpEx!AI17</f>
        <v>3125</v>
      </c>
      <c r="AJ29" s="29">
        <f>OpEx!AJ17</f>
        <v>3125</v>
      </c>
      <c r="AK29" s="29">
        <f>OpEx!AK17</f>
        <v>3125</v>
      </c>
      <c r="AL29" s="29">
        <f>OpEx!AL17</f>
        <v>3125</v>
      </c>
      <c r="AM29" s="29">
        <f>OpEx!AM17</f>
        <v>0</v>
      </c>
      <c r="AN29" s="29">
        <f>OpEx!AN17</f>
        <v>0</v>
      </c>
      <c r="AO29" s="29">
        <f>OpEx!AO17</f>
        <v>0</v>
      </c>
      <c r="AP29" s="29">
        <f>OpEx!AP17</f>
        <v>0</v>
      </c>
      <c r="AQ29" s="29">
        <f>OpEx!AQ17</f>
        <v>0</v>
      </c>
      <c r="AR29" s="29">
        <f>OpEx!AR17</f>
        <v>0</v>
      </c>
      <c r="AS29" s="29">
        <f>OpEx!AS17</f>
        <v>0</v>
      </c>
      <c r="AT29" s="29">
        <f>OpEx!AT17</f>
        <v>0</v>
      </c>
      <c r="AU29" s="29">
        <f>OpEx!AU17</f>
        <v>0</v>
      </c>
      <c r="AV29" s="29">
        <f>OpEx!AV17</f>
        <v>0</v>
      </c>
      <c r="AW29" s="29">
        <f>OpEx!AW17</f>
        <v>0</v>
      </c>
      <c r="AX29" s="29">
        <f>OpEx!AX17</f>
        <v>0</v>
      </c>
      <c r="AY29" s="29">
        <f>OpEx!AY17</f>
        <v>0</v>
      </c>
      <c r="AZ29" s="29">
        <f>OpEx!AZ17</f>
        <v>0</v>
      </c>
      <c r="BA29" s="29">
        <f>OpEx!BA17</f>
        <v>0</v>
      </c>
      <c r="BB29" s="29">
        <f>OpEx!BB17</f>
        <v>0</v>
      </c>
      <c r="BC29" s="29">
        <f>OpEx!BC17</f>
        <v>0</v>
      </c>
      <c r="BD29" s="29">
        <f>OpEx!BD17</f>
        <v>0</v>
      </c>
      <c r="BE29" s="29">
        <f>OpEx!BE17</f>
        <v>0</v>
      </c>
      <c r="BF29" s="29">
        <f>OpEx!BF17</f>
        <v>0</v>
      </c>
      <c r="BG29" s="29">
        <f>OpEx!BG17</f>
        <v>0</v>
      </c>
      <c r="BH29" s="29">
        <f>OpEx!BH17</f>
        <v>0</v>
      </c>
      <c r="BI29" s="29">
        <f>OpEx!BI17</f>
        <v>0</v>
      </c>
      <c r="BJ29" s="29">
        <f>OpEx!BJ17</f>
        <v>0</v>
      </c>
      <c r="BK29" s="24">
        <f>SUMPRODUCT((YEAR(EDATE(Controls!$B$6,COLUMN($C$1:$BJ$1)-COLUMN($C$1)))=YEAR(Controls!$B$6)+0)*(COLUMN($C$1:$BJ$1)-COLUMN($C$1)&lt;Controls!$B$7)*$C$29:$BJ$29)</f>
        <v>24000</v>
      </c>
      <c r="BL29" s="24">
        <f>SUMPRODUCT((YEAR(EDATE(Controls!$B$6,COLUMN($C$1:$BJ$1)-COLUMN($C$1)))=YEAR(Controls!$B$6)+1)*(COLUMN($C$1:$BJ$1)-COLUMN($C$1)&lt;Controls!$B$7)*$C$29:$BJ$29)</f>
        <v>30000</v>
      </c>
      <c r="BM29" s="24">
        <f>SUMPRODUCT((YEAR(EDATE(Controls!$B$6,COLUMN($C$1:$BJ$1)-COLUMN($C$1)))=YEAR(Controls!$B$6)+2)*(COLUMN($C$1:$BJ$1)-COLUMN($C$1)&lt;Controls!$B$7)*$C$29:$BJ$29)</f>
        <v>37500</v>
      </c>
      <c r="BN29" s="24">
        <f>SUMPRODUCT((YEAR(EDATE(Controls!$B$6,COLUMN($C$1:$BJ$1)-COLUMN($C$1)))=YEAR(Controls!$B$6)+3)*(COLUMN($C$1:$BJ$1)-COLUMN($C$1)&lt;Controls!$B$7)*$C$29:$BJ$29)</f>
        <v>0</v>
      </c>
      <c r="BO29" s="24">
        <f>SUMPRODUCT((YEAR(EDATE(Controls!$B$6,COLUMN($C$1:$BJ$1)-COLUMN($C$1)))=YEAR(Controls!$B$6)+4)*(COLUMN($C$1:$BJ$1)-COLUMN($C$1)&lt;Controls!$B$7)*$C$29:$BJ$29)</f>
        <v>0</v>
      </c>
      <c r="BP29" s="24">
        <f>SUMPRODUCT((YEAR(EDATE(Controls!$B$6,COLUMN($C$1:$BJ$1)-COLUMN($C$1)))=YEAR(Controls!$B$6)+5)*(COLUMN($C$1:$BJ$1)-COLUMN($C$1)&lt;Controls!$B$7)*$C$29:$BJ$29)</f>
        <v>0</v>
      </c>
    </row>
    <row r="30" spans="1:68" x14ac:dyDescent="0.35">
      <c r="A30" s="15" t="s">
        <v>264</v>
      </c>
      <c r="B30" s="20" t="s">
        <v>124</v>
      </c>
      <c r="C30" s="29">
        <f>OpEx!C18</f>
        <v>1000</v>
      </c>
      <c r="D30" s="29">
        <f>OpEx!D18</f>
        <v>1000</v>
      </c>
      <c r="E30" s="29">
        <f>OpEx!E18</f>
        <v>1000</v>
      </c>
      <c r="F30" s="29">
        <f>OpEx!F18</f>
        <v>1000</v>
      </c>
      <c r="G30" s="29">
        <f>OpEx!G18</f>
        <v>1000</v>
      </c>
      <c r="H30" s="29">
        <f>OpEx!H18</f>
        <v>1000</v>
      </c>
      <c r="I30" s="29">
        <f>OpEx!I18</f>
        <v>1000</v>
      </c>
      <c r="J30" s="29">
        <f>OpEx!J18</f>
        <v>1000</v>
      </c>
      <c r="K30" s="29">
        <f>OpEx!K18</f>
        <v>1000</v>
      </c>
      <c r="L30" s="29">
        <f>OpEx!L18</f>
        <v>1000</v>
      </c>
      <c r="M30" s="29">
        <f>OpEx!M18</f>
        <v>1000</v>
      </c>
      <c r="N30" s="29">
        <f>OpEx!N18</f>
        <v>1000</v>
      </c>
      <c r="O30" s="29">
        <f>OpEx!O18</f>
        <v>1250</v>
      </c>
      <c r="P30" s="29">
        <f>OpEx!P18</f>
        <v>1250</v>
      </c>
      <c r="Q30" s="29">
        <f>OpEx!Q18</f>
        <v>1250</v>
      </c>
      <c r="R30" s="29">
        <f>OpEx!R18</f>
        <v>1250</v>
      </c>
      <c r="S30" s="29">
        <f>OpEx!S18</f>
        <v>1250</v>
      </c>
      <c r="T30" s="29">
        <f>OpEx!T18</f>
        <v>1250</v>
      </c>
      <c r="U30" s="29">
        <f>OpEx!U18</f>
        <v>1250</v>
      </c>
      <c r="V30" s="29">
        <f>OpEx!V18</f>
        <v>1250</v>
      </c>
      <c r="W30" s="29">
        <f>OpEx!W18</f>
        <v>1250</v>
      </c>
      <c r="X30" s="29">
        <f>OpEx!X18</f>
        <v>1250</v>
      </c>
      <c r="Y30" s="29">
        <f>OpEx!Y18</f>
        <v>1250</v>
      </c>
      <c r="Z30" s="29">
        <f>OpEx!Z18</f>
        <v>1250</v>
      </c>
      <c r="AA30" s="29">
        <f>OpEx!AA18</f>
        <v>1562.5</v>
      </c>
      <c r="AB30" s="29">
        <f>OpEx!AB18</f>
        <v>1562.5</v>
      </c>
      <c r="AC30" s="29">
        <f>OpEx!AC18</f>
        <v>1562.5</v>
      </c>
      <c r="AD30" s="29">
        <f>OpEx!AD18</f>
        <v>1562.5</v>
      </c>
      <c r="AE30" s="29">
        <f>OpEx!AE18</f>
        <v>1562.5</v>
      </c>
      <c r="AF30" s="29">
        <f>OpEx!AF18</f>
        <v>1562.5</v>
      </c>
      <c r="AG30" s="29">
        <f>OpEx!AG18</f>
        <v>1562.5</v>
      </c>
      <c r="AH30" s="29">
        <f>OpEx!AH18</f>
        <v>1562.5</v>
      </c>
      <c r="AI30" s="29">
        <f>OpEx!AI18</f>
        <v>1562.5</v>
      </c>
      <c r="AJ30" s="29">
        <f>OpEx!AJ18</f>
        <v>1562.5</v>
      </c>
      <c r="AK30" s="29">
        <f>OpEx!AK18</f>
        <v>1562.5</v>
      </c>
      <c r="AL30" s="29">
        <f>OpEx!AL18</f>
        <v>1562.5</v>
      </c>
      <c r="AM30" s="29">
        <f>OpEx!AM18</f>
        <v>0</v>
      </c>
      <c r="AN30" s="29">
        <f>OpEx!AN18</f>
        <v>0</v>
      </c>
      <c r="AO30" s="29">
        <f>OpEx!AO18</f>
        <v>0</v>
      </c>
      <c r="AP30" s="29">
        <f>OpEx!AP18</f>
        <v>0</v>
      </c>
      <c r="AQ30" s="29">
        <f>OpEx!AQ18</f>
        <v>0</v>
      </c>
      <c r="AR30" s="29">
        <f>OpEx!AR18</f>
        <v>0</v>
      </c>
      <c r="AS30" s="29">
        <f>OpEx!AS18</f>
        <v>0</v>
      </c>
      <c r="AT30" s="29">
        <f>OpEx!AT18</f>
        <v>0</v>
      </c>
      <c r="AU30" s="29">
        <f>OpEx!AU18</f>
        <v>0</v>
      </c>
      <c r="AV30" s="29">
        <f>OpEx!AV18</f>
        <v>0</v>
      </c>
      <c r="AW30" s="29">
        <f>OpEx!AW18</f>
        <v>0</v>
      </c>
      <c r="AX30" s="29">
        <f>OpEx!AX18</f>
        <v>0</v>
      </c>
      <c r="AY30" s="29">
        <f>OpEx!AY18</f>
        <v>0</v>
      </c>
      <c r="AZ30" s="29">
        <f>OpEx!AZ18</f>
        <v>0</v>
      </c>
      <c r="BA30" s="29">
        <f>OpEx!BA18</f>
        <v>0</v>
      </c>
      <c r="BB30" s="29">
        <f>OpEx!BB18</f>
        <v>0</v>
      </c>
      <c r="BC30" s="29">
        <f>OpEx!BC18</f>
        <v>0</v>
      </c>
      <c r="BD30" s="29">
        <f>OpEx!BD18</f>
        <v>0</v>
      </c>
      <c r="BE30" s="29">
        <f>OpEx!BE18</f>
        <v>0</v>
      </c>
      <c r="BF30" s="29">
        <f>OpEx!BF18</f>
        <v>0</v>
      </c>
      <c r="BG30" s="29">
        <f>OpEx!BG18</f>
        <v>0</v>
      </c>
      <c r="BH30" s="29">
        <f>OpEx!BH18</f>
        <v>0</v>
      </c>
      <c r="BI30" s="29">
        <f>OpEx!BI18</f>
        <v>0</v>
      </c>
      <c r="BJ30" s="29">
        <f>OpEx!BJ18</f>
        <v>0</v>
      </c>
      <c r="BK30" s="24">
        <f>SUMPRODUCT((YEAR(EDATE(Controls!$B$6,COLUMN($C$1:$BJ$1)-COLUMN($C$1)))=YEAR(Controls!$B$6)+0)*(COLUMN($C$1:$BJ$1)-COLUMN($C$1)&lt;Controls!$B$7)*$C$30:$BJ$30)</f>
        <v>12000</v>
      </c>
      <c r="BL30" s="24">
        <f>SUMPRODUCT((YEAR(EDATE(Controls!$B$6,COLUMN($C$1:$BJ$1)-COLUMN($C$1)))=YEAR(Controls!$B$6)+1)*(COLUMN($C$1:$BJ$1)-COLUMN($C$1)&lt;Controls!$B$7)*$C$30:$BJ$30)</f>
        <v>15000</v>
      </c>
      <c r="BM30" s="24">
        <f>SUMPRODUCT((YEAR(EDATE(Controls!$B$6,COLUMN($C$1:$BJ$1)-COLUMN($C$1)))=YEAR(Controls!$B$6)+2)*(COLUMN($C$1:$BJ$1)-COLUMN($C$1)&lt;Controls!$B$7)*$C$30:$BJ$30)</f>
        <v>18750</v>
      </c>
      <c r="BN30" s="24">
        <f>SUMPRODUCT((YEAR(EDATE(Controls!$B$6,COLUMN($C$1:$BJ$1)-COLUMN($C$1)))=YEAR(Controls!$B$6)+3)*(COLUMN($C$1:$BJ$1)-COLUMN($C$1)&lt;Controls!$B$7)*$C$30:$BJ$30)</f>
        <v>0</v>
      </c>
      <c r="BO30" s="24">
        <f>SUMPRODUCT((YEAR(EDATE(Controls!$B$6,COLUMN($C$1:$BJ$1)-COLUMN($C$1)))=YEAR(Controls!$B$6)+4)*(COLUMN($C$1:$BJ$1)-COLUMN($C$1)&lt;Controls!$B$7)*$C$30:$BJ$30)</f>
        <v>0</v>
      </c>
      <c r="BP30" s="24">
        <f>SUMPRODUCT((YEAR(EDATE(Controls!$B$6,COLUMN($C$1:$BJ$1)-COLUMN($C$1)))=YEAR(Controls!$B$6)+5)*(COLUMN($C$1:$BJ$1)-COLUMN($C$1)&lt;Controls!$B$7)*$C$30:$BJ$30)</f>
        <v>0</v>
      </c>
    </row>
    <row r="31" spans="1:68" x14ac:dyDescent="0.35">
      <c r="A31" s="15" t="s">
        <v>234</v>
      </c>
      <c r="B31" s="20" t="s">
        <v>124</v>
      </c>
      <c r="C31" s="29">
        <f>OpEx!C19</f>
        <v>500</v>
      </c>
      <c r="D31" s="29">
        <f>OpEx!D19</f>
        <v>500</v>
      </c>
      <c r="E31" s="29">
        <f>OpEx!E19</f>
        <v>500</v>
      </c>
      <c r="F31" s="29">
        <f>OpEx!F19</f>
        <v>500</v>
      </c>
      <c r="G31" s="29">
        <f>OpEx!G19</f>
        <v>500</v>
      </c>
      <c r="H31" s="29">
        <f>OpEx!H19</f>
        <v>500</v>
      </c>
      <c r="I31" s="29">
        <f>OpEx!I19</f>
        <v>500</v>
      </c>
      <c r="J31" s="29">
        <f>OpEx!J19</f>
        <v>500</v>
      </c>
      <c r="K31" s="29">
        <f>OpEx!K19</f>
        <v>500</v>
      </c>
      <c r="L31" s="29">
        <f>OpEx!L19</f>
        <v>500</v>
      </c>
      <c r="M31" s="29">
        <f>OpEx!M19</f>
        <v>500</v>
      </c>
      <c r="N31" s="29">
        <f>OpEx!N19</f>
        <v>500</v>
      </c>
      <c r="O31" s="29">
        <f>OpEx!O19</f>
        <v>625</v>
      </c>
      <c r="P31" s="29">
        <f>OpEx!P19</f>
        <v>625</v>
      </c>
      <c r="Q31" s="29">
        <f>OpEx!Q19</f>
        <v>625</v>
      </c>
      <c r="R31" s="29">
        <f>OpEx!R19</f>
        <v>625</v>
      </c>
      <c r="S31" s="29">
        <f>OpEx!S19</f>
        <v>625</v>
      </c>
      <c r="T31" s="29">
        <f>OpEx!T19</f>
        <v>625</v>
      </c>
      <c r="U31" s="29">
        <f>OpEx!U19</f>
        <v>625</v>
      </c>
      <c r="V31" s="29">
        <f>OpEx!V19</f>
        <v>625</v>
      </c>
      <c r="W31" s="29">
        <f>OpEx!W19</f>
        <v>625</v>
      </c>
      <c r="X31" s="29">
        <f>OpEx!X19</f>
        <v>625</v>
      </c>
      <c r="Y31" s="29">
        <f>OpEx!Y19</f>
        <v>625</v>
      </c>
      <c r="Z31" s="29">
        <f>OpEx!Z19</f>
        <v>625</v>
      </c>
      <c r="AA31" s="29">
        <f>OpEx!AA19</f>
        <v>781.25</v>
      </c>
      <c r="AB31" s="29">
        <f>OpEx!AB19</f>
        <v>781.25</v>
      </c>
      <c r="AC31" s="29">
        <f>OpEx!AC19</f>
        <v>781.25</v>
      </c>
      <c r="AD31" s="29">
        <f>OpEx!AD19</f>
        <v>781.25</v>
      </c>
      <c r="AE31" s="29">
        <f>OpEx!AE19</f>
        <v>781.25</v>
      </c>
      <c r="AF31" s="29">
        <f>OpEx!AF19</f>
        <v>781.25</v>
      </c>
      <c r="AG31" s="29">
        <f>OpEx!AG19</f>
        <v>781.25</v>
      </c>
      <c r="AH31" s="29">
        <f>OpEx!AH19</f>
        <v>781.25</v>
      </c>
      <c r="AI31" s="29">
        <f>OpEx!AI19</f>
        <v>781.25</v>
      </c>
      <c r="AJ31" s="29">
        <f>OpEx!AJ19</f>
        <v>781.25</v>
      </c>
      <c r="AK31" s="29">
        <f>OpEx!AK19</f>
        <v>781.25</v>
      </c>
      <c r="AL31" s="29">
        <f>OpEx!AL19</f>
        <v>781.25</v>
      </c>
      <c r="AM31" s="29">
        <f>OpEx!AM19</f>
        <v>0</v>
      </c>
      <c r="AN31" s="29">
        <f>OpEx!AN19</f>
        <v>0</v>
      </c>
      <c r="AO31" s="29">
        <f>OpEx!AO19</f>
        <v>0</v>
      </c>
      <c r="AP31" s="29">
        <f>OpEx!AP19</f>
        <v>0</v>
      </c>
      <c r="AQ31" s="29">
        <f>OpEx!AQ19</f>
        <v>0</v>
      </c>
      <c r="AR31" s="29">
        <f>OpEx!AR19</f>
        <v>0</v>
      </c>
      <c r="AS31" s="29">
        <f>OpEx!AS19</f>
        <v>0</v>
      </c>
      <c r="AT31" s="29">
        <f>OpEx!AT19</f>
        <v>0</v>
      </c>
      <c r="AU31" s="29">
        <f>OpEx!AU19</f>
        <v>0</v>
      </c>
      <c r="AV31" s="29">
        <f>OpEx!AV19</f>
        <v>0</v>
      </c>
      <c r="AW31" s="29">
        <f>OpEx!AW19</f>
        <v>0</v>
      </c>
      <c r="AX31" s="29">
        <f>OpEx!AX19</f>
        <v>0</v>
      </c>
      <c r="AY31" s="29">
        <f>OpEx!AY19</f>
        <v>0</v>
      </c>
      <c r="AZ31" s="29">
        <f>OpEx!AZ19</f>
        <v>0</v>
      </c>
      <c r="BA31" s="29">
        <f>OpEx!BA19</f>
        <v>0</v>
      </c>
      <c r="BB31" s="29">
        <f>OpEx!BB19</f>
        <v>0</v>
      </c>
      <c r="BC31" s="29">
        <f>OpEx!BC19</f>
        <v>0</v>
      </c>
      <c r="BD31" s="29">
        <f>OpEx!BD19</f>
        <v>0</v>
      </c>
      <c r="BE31" s="29">
        <f>OpEx!BE19</f>
        <v>0</v>
      </c>
      <c r="BF31" s="29">
        <f>OpEx!BF19</f>
        <v>0</v>
      </c>
      <c r="BG31" s="29">
        <f>OpEx!BG19</f>
        <v>0</v>
      </c>
      <c r="BH31" s="29">
        <f>OpEx!BH19</f>
        <v>0</v>
      </c>
      <c r="BI31" s="29">
        <f>OpEx!BI19</f>
        <v>0</v>
      </c>
      <c r="BJ31" s="29">
        <f>OpEx!BJ19</f>
        <v>0</v>
      </c>
      <c r="BK31" s="24">
        <f>SUMPRODUCT((YEAR(EDATE(Controls!$B$6,COLUMN($C$1:$BJ$1)-COLUMN($C$1)))=YEAR(Controls!$B$6)+0)*(COLUMN($C$1:$BJ$1)-COLUMN($C$1)&lt;Controls!$B$7)*$C$31:$BJ$31)</f>
        <v>6000</v>
      </c>
      <c r="BL31" s="24">
        <f>SUMPRODUCT((YEAR(EDATE(Controls!$B$6,COLUMN($C$1:$BJ$1)-COLUMN($C$1)))=YEAR(Controls!$B$6)+1)*(COLUMN($C$1:$BJ$1)-COLUMN($C$1)&lt;Controls!$B$7)*$C$31:$BJ$31)</f>
        <v>7500</v>
      </c>
      <c r="BM31" s="24">
        <f>SUMPRODUCT((YEAR(EDATE(Controls!$B$6,COLUMN($C$1:$BJ$1)-COLUMN($C$1)))=YEAR(Controls!$B$6)+2)*(COLUMN($C$1:$BJ$1)-COLUMN($C$1)&lt;Controls!$B$7)*$C$31:$BJ$31)</f>
        <v>9375</v>
      </c>
      <c r="BN31" s="24">
        <f>SUMPRODUCT((YEAR(EDATE(Controls!$B$6,COLUMN($C$1:$BJ$1)-COLUMN($C$1)))=YEAR(Controls!$B$6)+3)*(COLUMN($C$1:$BJ$1)-COLUMN($C$1)&lt;Controls!$B$7)*$C$31:$BJ$31)</f>
        <v>0</v>
      </c>
      <c r="BO31" s="24">
        <f>SUMPRODUCT((YEAR(EDATE(Controls!$B$6,COLUMN($C$1:$BJ$1)-COLUMN($C$1)))=YEAR(Controls!$B$6)+4)*(COLUMN($C$1:$BJ$1)-COLUMN($C$1)&lt;Controls!$B$7)*$C$31:$BJ$31)</f>
        <v>0</v>
      </c>
      <c r="BP31" s="24">
        <f>SUMPRODUCT((YEAR(EDATE(Controls!$B$6,COLUMN($C$1:$BJ$1)-COLUMN($C$1)))=YEAR(Controls!$B$6)+5)*(COLUMN($C$1:$BJ$1)-COLUMN($C$1)&lt;Controls!$B$7)*$C$31:$BJ$31)</f>
        <v>0</v>
      </c>
    </row>
    <row r="32" spans="1:68" x14ac:dyDescent="0.35">
      <c r="A32" s="6" t="s">
        <v>265</v>
      </c>
      <c r="B32" s="20" t="s">
        <v>124</v>
      </c>
      <c r="C32" s="24">
        <f t="shared" ref="C32:AH32" si="12">C28+C29+C30+C31</f>
        <v>28630</v>
      </c>
      <c r="D32" s="24">
        <f t="shared" si="12"/>
        <v>28630</v>
      </c>
      <c r="E32" s="24">
        <f t="shared" si="12"/>
        <v>28630</v>
      </c>
      <c r="F32" s="24">
        <f t="shared" si="12"/>
        <v>28630</v>
      </c>
      <c r="G32" s="24">
        <f t="shared" si="12"/>
        <v>28630</v>
      </c>
      <c r="H32" s="24">
        <f t="shared" si="12"/>
        <v>28630</v>
      </c>
      <c r="I32" s="24">
        <f t="shared" si="12"/>
        <v>28630</v>
      </c>
      <c r="J32" s="24">
        <f t="shared" si="12"/>
        <v>28630</v>
      </c>
      <c r="K32" s="24">
        <f t="shared" si="12"/>
        <v>28630</v>
      </c>
      <c r="L32" s="24">
        <f t="shared" si="12"/>
        <v>28630</v>
      </c>
      <c r="M32" s="24">
        <f t="shared" si="12"/>
        <v>28630</v>
      </c>
      <c r="N32" s="24">
        <f t="shared" si="12"/>
        <v>28630</v>
      </c>
      <c r="O32" s="24">
        <f t="shared" si="12"/>
        <v>35787.5</v>
      </c>
      <c r="P32" s="24">
        <f t="shared" si="12"/>
        <v>35787.5</v>
      </c>
      <c r="Q32" s="24">
        <f t="shared" si="12"/>
        <v>35787.5</v>
      </c>
      <c r="R32" s="24">
        <f t="shared" si="12"/>
        <v>35787.5</v>
      </c>
      <c r="S32" s="24">
        <f t="shared" si="12"/>
        <v>35787.5</v>
      </c>
      <c r="T32" s="24">
        <f t="shared" si="12"/>
        <v>35787.5</v>
      </c>
      <c r="U32" s="24">
        <f t="shared" si="12"/>
        <v>35787.5</v>
      </c>
      <c r="V32" s="24">
        <f t="shared" si="12"/>
        <v>35787.5</v>
      </c>
      <c r="W32" s="24">
        <f t="shared" si="12"/>
        <v>35787.5</v>
      </c>
      <c r="X32" s="24">
        <f t="shared" si="12"/>
        <v>35787.5</v>
      </c>
      <c r="Y32" s="24">
        <f t="shared" si="12"/>
        <v>35787.5</v>
      </c>
      <c r="Z32" s="24">
        <f t="shared" si="12"/>
        <v>35787.5</v>
      </c>
      <c r="AA32" s="24">
        <f t="shared" si="12"/>
        <v>44734.375</v>
      </c>
      <c r="AB32" s="24">
        <f t="shared" si="12"/>
        <v>44734.375</v>
      </c>
      <c r="AC32" s="24">
        <f t="shared" si="12"/>
        <v>44734.375</v>
      </c>
      <c r="AD32" s="24">
        <f t="shared" si="12"/>
        <v>44734.375</v>
      </c>
      <c r="AE32" s="24">
        <f t="shared" si="12"/>
        <v>44734.375</v>
      </c>
      <c r="AF32" s="24">
        <f t="shared" si="12"/>
        <v>44734.375</v>
      </c>
      <c r="AG32" s="24">
        <f t="shared" si="12"/>
        <v>44734.375</v>
      </c>
      <c r="AH32" s="24">
        <f t="shared" si="12"/>
        <v>44734.375</v>
      </c>
      <c r="AI32" s="24">
        <f t="shared" ref="AI32:BJ32" si="13">AI28+AI29+AI30+AI31</f>
        <v>44734.375</v>
      </c>
      <c r="AJ32" s="24">
        <f t="shared" si="13"/>
        <v>44734.375</v>
      </c>
      <c r="AK32" s="24">
        <f t="shared" si="13"/>
        <v>44734.375</v>
      </c>
      <c r="AL32" s="24">
        <f t="shared" si="13"/>
        <v>44734.375</v>
      </c>
      <c r="AM32" s="24">
        <f t="shared" si="13"/>
        <v>0</v>
      </c>
      <c r="AN32" s="24">
        <f t="shared" si="13"/>
        <v>0</v>
      </c>
      <c r="AO32" s="24">
        <f t="shared" si="13"/>
        <v>0</v>
      </c>
      <c r="AP32" s="24">
        <f t="shared" si="13"/>
        <v>0</v>
      </c>
      <c r="AQ32" s="24">
        <f t="shared" si="13"/>
        <v>0</v>
      </c>
      <c r="AR32" s="24">
        <f t="shared" si="13"/>
        <v>0</v>
      </c>
      <c r="AS32" s="24">
        <f t="shared" si="13"/>
        <v>0</v>
      </c>
      <c r="AT32" s="24">
        <f t="shared" si="13"/>
        <v>0</v>
      </c>
      <c r="AU32" s="24">
        <f t="shared" si="13"/>
        <v>0</v>
      </c>
      <c r="AV32" s="24">
        <f t="shared" si="13"/>
        <v>0</v>
      </c>
      <c r="AW32" s="24">
        <f t="shared" si="13"/>
        <v>0</v>
      </c>
      <c r="AX32" s="24">
        <f t="shared" si="13"/>
        <v>0</v>
      </c>
      <c r="AY32" s="24">
        <f t="shared" si="13"/>
        <v>0</v>
      </c>
      <c r="AZ32" s="24">
        <f t="shared" si="13"/>
        <v>0</v>
      </c>
      <c r="BA32" s="24">
        <f t="shared" si="13"/>
        <v>0</v>
      </c>
      <c r="BB32" s="24">
        <f t="shared" si="13"/>
        <v>0</v>
      </c>
      <c r="BC32" s="24">
        <f t="shared" si="13"/>
        <v>0</v>
      </c>
      <c r="BD32" s="24">
        <f t="shared" si="13"/>
        <v>0</v>
      </c>
      <c r="BE32" s="24">
        <f t="shared" si="13"/>
        <v>0</v>
      </c>
      <c r="BF32" s="24">
        <f t="shared" si="13"/>
        <v>0</v>
      </c>
      <c r="BG32" s="24">
        <f t="shared" si="13"/>
        <v>0</v>
      </c>
      <c r="BH32" s="24">
        <f t="shared" si="13"/>
        <v>0</v>
      </c>
      <c r="BI32" s="24">
        <f t="shared" si="13"/>
        <v>0</v>
      </c>
      <c r="BJ32" s="24">
        <f t="shared" si="13"/>
        <v>0</v>
      </c>
      <c r="BK32" s="24">
        <f>SUMPRODUCT((YEAR(EDATE(Controls!$B$6,COLUMN($C$1:$BJ$1)-COLUMN($C$1)))=YEAR(Controls!$B$6)+0)*(COLUMN($C$1:$BJ$1)-COLUMN($C$1)&lt;Controls!$B$7)*$C$32:$BJ$32)</f>
        <v>343560</v>
      </c>
      <c r="BL32" s="24">
        <f>SUMPRODUCT((YEAR(EDATE(Controls!$B$6,COLUMN($C$1:$BJ$1)-COLUMN($C$1)))=YEAR(Controls!$B$6)+1)*(COLUMN($C$1:$BJ$1)-COLUMN($C$1)&lt;Controls!$B$7)*$C$32:$BJ$32)</f>
        <v>429450</v>
      </c>
      <c r="BM32" s="24">
        <f>SUMPRODUCT((YEAR(EDATE(Controls!$B$6,COLUMN($C$1:$BJ$1)-COLUMN($C$1)))=YEAR(Controls!$B$6)+2)*(COLUMN($C$1:$BJ$1)-COLUMN($C$1)&lt;Controls!$B$7)*$C$32:$BJ$32)</f>
        <v>536812.5</v>
      </c>
      <c r="BN32" s="24">
        <f>SUMPRODUCT((YEAR(EDATE(Controls!$B$6,COLUMN($C$1:$BJ$1)-COLUMN($C$1)))=YEAR(Controls!$B$6)+3)*(COLUMN($C$1:$BJ$1)-COLUMN($C$1)&lt;Controls!$B$7)*$C$32:$BJ$32)</f>
        <v>0</v>
      </c>
      <c r="BO32" s="24">
        <f>SUMPRODUCT((YEAR(EDATE(Controls!$B$6,COLUMN($C$1:$BJ$1)-COLUMN($C$1)))=YEAR(Controls!$B$6)+4)*(COLUMN($C$1:$BJ$1)-COLUMN($C$1)&lt;Controls!$B$7)*$C$32:$BJ$32)</f>
        <v>0</v>
      </c>
      <c r="BP32" s="24">
        <f>SUMPRODUCT((YEAR(EDATE(Controls!$B$6,COLUMN($C$1:$BJ$1)-COLUMN($C$1)))=YEAR(Controls!$B$6)+5)*(COLUMN($C$1:$BJ$1)-COLUMN($C$1)&lt;Controls!$B$7)*$C$32:$BJ$32)</f>
        <v>0</v>
      </c>
    </row>
    <row r="34" spans="1:68" ht="18" customHeight="1" x14ac:dyDescent="0.35">
      <c r="A34" s="54" t="s">
        <v>213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</row>
    <row r="35" spans="1:68" x14ac:dyDescent="0.35">
      <c r="A35" s="15" t="s">
        <v>266</v>
      </c>
      <c r="B35" s="20" t="s">
        <v>124</v>
      </c>
      <c r="C35" s="29">
        <f>Headcount!C25</f>
        <v>12565</v>
      </c>
      <c r="D35" s="29">
        <f>Headcount!D25</f>
        <v>12565</v>
      </c>
      <c r="E35" s="29">
        <f>Headcount!E25</f>
        <v>12565</v>
      </c>
      <c r="F35" s="29">
        <f>Headcount!F25</f>
        <v>12565</v>
      </c>
      <c r="G35" s="29">
        <f>Headcount!G25</f>
        <v>12565</v>
      </c>
      <c r="H35" s="29">
        <f>Headcount!H25</f>
        <v>12565</v>
      </c>
      <c r="I35" s="29">
        <f>Headcount!I25</f>
        <v>12565</v>
      </c>
      <c r="J35" s="29">
        <f>Headcount!J25</f>
        <v>12565</v>
      </c>
      <c r="K35" s="29">
        <f>Headcount!K25</f>
        <v>12565</v>
      </c>
      <c r="L35" s="29">
        <f>Headcount!L25</f>
        <v>12565</v>
      </c>
      <c r="M35" s="29">
        <f>Headcount!M25</f>
        <v>12565</v>
      </c>
      <c r="N35" s="29">
        <f>Headcount!N25</f>
        <v>12565</v>
      </c>
      <c r="O35" s="29">
        <f>Headcount!O25</f>
        <v>14449.75</v>
      </c>
      <c r="P35" s="29">
        <f>Headcount!P25</f>
        <v>14449.75</v>
      </c>
      <c r="Q35" s="29">
        <f>Headcount!Q25</f>
        <v>14449.75</v>
      </c>
      <c r="R35" s="29">
        <f>Headcount!R25</f>
        <v>14449.75</v>
      </c>
      <c r="S35" s="29">
        <f>Headcount!S25</f>
        <v>14449.75</v>
      </c>
      <c r="T35" s="29">
        <f>Headcount!T25</f>
        <v>14449.75</v>
      </c>
      <c r="U35" s="29">
        <f>Headcount!U25</f>
        <v>14449.75</v>
      </c>
      <c r="V35" s="29">
        <f>Headcount!V25</f>
        <v>14449.75</v>
      </c>
      <c r="W35" s="29">
        <f>Headcount!W25</f>
        <v>14449.75</v>
      </c>
      <c r="X35" s="29">
        <f>Headcount!X25</f>
        <v>14449.75</v>
      </c>
      <c r="Y35" s="29">
        <f>Headcount!Y25</f>
        <v>14449.75</v>
      </c>
      <c r="Z35" s="29">
        <f>Headcount!Z25</f>
        <v>14449.75</v>
      </c>
      <c r="AA35" s="29">
        <f>Headcount!AA25</f>
        <v>16617.212499999998</v>
      </c>
      <c r="AB35" s="29">
        <f>Headcount!AB25</f>
        <v>16617.212499999998</v>
      </c>
      <c r="AC35" s="29">
        <f>Headcount!AC25</f>
        <v>16617.212499999998</v>
      </c>
      <c r="AD35" s="29">
        <f>Headcount!AD25</f>
        <v>16617.212499999998</v>
      </c>
      <c r="AE35" s="29">
        <f>Headcount!AE25</f>
        <v>16617.212499999998</v>
      </c>
      <c r="AF35" s="29">
        <f>Headcount!AF25</f>
        <v>16617.212499999998</v>
      </c>
      <c r="AG35" s="29">
        <f>Headcount!AG25</f>
        <v>16617.212499999998</v>
      </c>
      <c r="AH35" s="29">
        <f>Headcount!AH25</f>
        <v>16617.212499999998</v>
      </c>
      <c r="AI35" s="29">
        <f>Headcount!AI25</f>
        <v>16617.212499999998</v>
      </c>
      <c r="AJ35" s="29">
        <f>Headcount!AJ25</f>
        <v>16617.212499999998</v>
      </c>
      <c r="AK35" s="29">
        <f>Headcount!AK25</f>
        <v>16617.212499999998</v>
      </c>
      <c r="AL35" s="29">
        <f>Headcount!AL25</f>
        <v>16617.212499999998</v>
      </c>
      <c r="AM35" s="29">
        <f>Headcount!AM25</f>
        <v>0</v>
      </c>
      <c r="AN35" s="29">
        <f>Headcount!AN25</f>
        <v>0</v>
      </c>
      <c r="AO35" s="29">
        <f>Headcount!AO25</f>
        <v>0</v>
      </c>
      <c r="AP35" s="29">
        <f>Headcount!AP25</f>
        <v>0</v>
      </c>
      <c r="AQ35" s="29">
        <f>Headcount!AQ25</f>
        <v>0</v>
      </c>
      <c r="AR35" s="29">
        <f>Headcount!AR25</f>
        <v>0</v>
      </c>
      <c r="AS35" s="29">
        <f>Headcount!AS25</f>
        <v>0</v>
      </c>
      <c r="AT35" s="29">
        <f>Headcount!AT25</f>
        <v>0</v>
      </c>
      <c r="AU35" s="29">
        <f>Headcount!AU25</f>
        <v>0</v>
      </c>
      <c r="AV35" s="29">
        <f>Headcount!AV25</f>
        <v>0</v>
      </c>
      <c r="AW35" s="29">
        <f>Headcount!AW25</f>
        <v>0</v>
      </c>
      <c r="AX35" s="29">
        <f>Headcount!AX25</f>
        <v>0</v>
      </c>
      <c r="AY35" s="29">
        <f>Headcount!AY25</f>
        <v>0</v>
      </c>
      <c r="AZ35" s="29">
        <f>Headcount!AZ25</f>
        <v>0</v>
      </c>
      <c r="BA35" s="29">
        <f>Headcount!BA25</f>
        <v>0</v>
      </c>
      <c r="BB35" s="29">
        <f>Headcount!BB25</f>
        <v>0</v>
      </c>
      <c r="BC35" s="29">
        <f>Headcount!BC25</f>
        <v>0</v>
      </c>
      <c r="BD35" s="29">
        <f>Headcount!BD25</f>
        <v>0</v>
      </c>
      <c r="BE35" s="29">
        <f>Headcount!BE25</f>
        <v>0</v>
      </c>
      <c r="BF35" s="29">
        <f>Headcount!BF25</f>
        <v>0</v>
      </c>
      <c r="BG35" s="29">
        <f>Headcount!BG25</f>
        <v>0</v>
      </c>
      <c r="BH35" s="29">
        <f>Headcount!BH25</f>
        <v>0</v>
      </c>
      <c r="BI35" s="29">
        <f>Headcount!BI25</f>
        <v>0</v>
      </c>
      <c r="BJ35" s="29">
        <f>Headcount!BJ25</f>
        <v>0</v>
      </c>
      <c r="BK35" s="24">
        <f>SUMPRODUCT((YEAR(EDATE(Controls!$B$6,COLUMN($C$1:$BJ$1)-COLUMN($C$1)))=YEAR(Controls!$B$6)+0)*(COLUMN($C$1:$BJ$1)-COLUMN($C$1)&lt;Controls!$B$7)*$C$35:$BJ$35)</f>
        <v>150780</v>
      </c>
      <c r="BL35" s="24">
        <f>SUMPRODUCT((YEAR(EDATE(Controls!$B$6,COLUMN($C$1:$BJ$1)-COLUMN($C$1)))=YEAR(Controls!$B$6)+1)*(COLUMN($C$1:$BJ$1)-COLUMN($C$1)&lt;Controls!$B$7)*$C$35:$BJ$35)</f>
        <v>173397</v>
      </c>
      <c r="BM35" s="24">
        <f>SUMPRODUCT((YEAR(EDATE(Controls!$B$6,COLUMN($C$1:$BJ$1)-COLUMN($C$1)))=YEAR(Controls!$B$6)+2)*(COLUMN($C$1:$BJ$1)-COLUMN($C$1)&lt;Controls!$B$7)*$C$35:$BJ$35)</f>
        <v>199406.54999999996</v>
      </c>
      <c r="BN35" s="24">
        <f>SUMPRODUCT((YEAR(EDATE(Controls!$B$6,COLUMN($C$1:$BJ$1)-COLUMN($C$1)))=YEAR(Controls!$B$6)+3)*(COLUMN($C$1:$BJ$1)-COLUMN($C$1)&lt;Controls!$B$7)*$C$35:$BJ$35)</f>
        <v>0</v>
      </c>
      <c r="BO35" s="24">
        <f>SUMPRODUCT((YEAR(EDATE(Controls!$B$6,COLUMN($C$1:$BJ$1)-COLUMN($C$1)))=YEAR(Controls!$B$6)+4)*(COLUMN($C$1:$BJ$1)-COLUMN($C$1)&lt;Controls!$B$7)*$C$35:$BJ$35)</f>
        <v>0</v>
      </c>
      <c r="BP35" s="24">
        <f>SUMPRODUCT((YEAR(EDATE(Controls!$B$6,COLUMN($C$1:$BJ$1)-COLUMN($C$1)))=YEAR(Controls!$B$6)+5)*(COLUMN($C$1:$BJ$1)-COLUMN($C$1)&lt;Controls!$B$7)*$C$35:$BJ$35)</f>
        <v>0</v>
      </c>
    </row>
    <row r="36" spans="1:68" x14ac:dyDescent="0.35">
      <c r="A36" s="15" t="s">
        <v>237</v>
      </c>
      <c r="B36" s="20" t="s">
        <v>124</v>
      </c>
      <c r="C36" s="29">
        <f>OpEx!C22</f>
        <v>2500</v>
      </c>
      <c r="D36" s="29">
        <f>OpEx!D22</f>
        <v>2500</v>
      </c>
      <c r="E36" s="29">
        <f>OpEx!E22</f>
        <v>2500</v>
      </c>
      <c r="F36" s="29">
        <f>OpEx!F22</f>
        <v>2500</v>
      </c>
      <c r="G36" s="29">
        <f>OpEx!G22</f>
        <v>2500</v>
      </c>
      <c r="H36" s="29">
        <f>OpEx!H22</f>
        <v>2500</v>
      </c>
      <c r="I36" s="29">
        <f>OpEx!I22</f>
        <v>2500</v>
      </c>
      <c r="J36" s="29">
        <f>OpEx!J22</f>
        <v>2500</v>
      </c>
      <c r="K36" s="29">
        <f>OpEx!K22</f>
        <v>2500</v>
      </c>
      <c r="L36" s="29">
        <f>OpEx!L22</f>
        <v>2500</v>
      </c>
      <c r="M36" s="29">
        <f>OpEx!M22</f>
        <v>2500</v>
      </c>
      <c r="N36" s="29">
        <f>OpEx!N22</f>
        <v>2500</v>
      </c>
      <c r="O36" s="29">
        <f>OpEx!O22</f>
        <v>2875</v>
      </c>
      <c r="P36" s="29">
        <f>OpEx!P22</f>
        <v>2875</v>
      </c>
      <c r="Q36" s="29">
        <f>OpEx!Q22</f>
        <v>2875</v>
      </c>
      <c r="R36" s="29">
        <f>OpEx!R22</f>
        <v>2875</v>
      </c>
      <c r="S36" s="29">
        <f>OpEx!S22</f>
        <v>2875</v>
      </c>
      <c r="T36" s="29">
        <f>OpEx!T22</f>
        <v>2875</v>
      </c>
      <c r="U36" s="29">
        <f>OpEx!U22</f>
        <v>2875</v>
      </c>
      <c r="V36" s="29">
        <f>OpEx!V22</f>
        <v>2875</v>
      </c>
      <c r="W36" s="29">
        <f>OpEx!W22</f>
        <v>2875</v>
      </c>
      <c r="X36" s="29">
        <f>OpEx!X22</f>
        <v>2875</v>
      </c>
      <c r="Y36" s="29">
        <f>OpEx!Y22</f>
        <v>2875</v>
      </c>
      <c r="Z36" s="29">
        <f>OpEx!Z22</f>
        <v>2875</v>
      </c>
      <c r="AA36" s="29">
        <f>OpEx!AA22</f>
        <v>3306.2499999999995</v>
      </c>
      <c r="AB36" s="29">
        <f>OpEx!AB22</f>
        <v>3306.2499999999995</v>
      </c>
      <c r="AC36" s="29">
        <f>OpEx!AC22</f>
        <v>3306.2499999999995</v>
      </c>
      <c r="AD36" s="29">
        <f>OpEx!AD22</f>
        <v>3306.2499999999995</v>
      </c>
      <c r="AE36" s="29">
        <f>OpEx!AE22</f>
        <v>3306.2499999999995</v>
      </c>
      <c r="AF36" s="29">
        <f>OpEx!AF22</f>
        <v>3306.2499999999995</v>
      </c>
      <c r="AG36" s="29">
        <f>OpEx!AG22</f>
        <v>3306.2499999999995</v>
      </c>
      <c r="AH36" s="29">
        <f>OpEx!AH22</f>
        <v>3306.2499999999995</v>
      </c>
      <c r="AI36" s="29">
        <f>OpEx!AI22</f>
        <v>3306.2499999999995</v>
      </c>
      <c r="AJ36" s="29">
        <f>OpEx!AJ22</f>
        <v>3306.2499999999995</v>
      </c>
      <c r="AK36" s="29">
        <f>OpEx!AK22</f>
        <v>3306.2499999999995</v>
      </c>
      <c r="AL36" s="29">
        <f>OpEx!AL22</f>
        <v>3306.2499999999995</v>
      </c>
      <c r="AM36" s="29">
        <f>OpEx!AM22</f>
        <v>0</v>
      </c>
      <c r="AN36" s="29">
        <f>OpEx!AN22</f>
        <v>0</v>
      </c>
      <c r="AO36" s="29">
        <f>OpEx!AO22</f>
        <v>0</v>
      </c>
      <c r="AP36" s="29">
        <f>OpEx!AP22</f>
        <v>0</v>
      </c>
      <c r="AQ36" s="29">
        <f>OpEx!AQ22</f>
        <v>0</v>
      </c>
      <c r="AR36" s="29">
        <f>OpEx!AR22</f>
        <v>0</v>
      </c>
      <c r="AS36" s="29">
        <f>OpEx!AS22</f>
        <v>0</v>
      </c>
      <c r="AT36" s="29">
        <f>OpEx!AT22</f>
        <v>0</v>
      </c>
      <c r="AU36" s="29">
        <f>OpEx!AU22</f>
        <v>0</v>
      </c>
      <c r="AV36" s="29">
        <f>OpEx!AV22</f>
        <v>0</v>
      </c>
      <c r="AW36" s="29">
        <f>OpEx!AW22</f>
        <v>0</v>
      </c>
      <c r="AX36" s="29">
        <f>OpEx!AX22</f>
        <v>0</v>
      </c>
      <c r="AY36" s="29">
        <f>OpEx!AY22</f>
        <v>0</v>
      </c>
      <c r="AZ36" s="29">
        <f>OpEx!AZ22</f>
        <v>0</v>
      </c>
      <c r="BA36" s="29">
        <f>OpEx!BA22</f>
        <v>0</v>
      </c>
      <c r="BB36" s="29">
        <f>OpEx!BB22</f>
        <v>0</v>
      </c>
      <c r="BC36" s="29">
        <f>OpEx!BC22</f>
        <v>0</v>
      </c>
      <c r="BD36" s="29">
        <f>OpEx!BD22</f>
        <v>0</v>
      </c>
      <c r="BE36" s="29">
        <f>OpEx!BE22</f>
        <v>0</v>
      </c>
      <c r="BF36" s="29">
        <f>OpEx!BF22</f>
        <v>0</v>
      </c>
      <c r="BG36" s="29">
        <f>OpEx!BG22</f>
        <v>0</v>
      </c>
      <c r="BH36" s="29">
        <f>OpEx!BH22</f>
        <v>0</v>
      </c>
      <c r="BI36" s="29">
        <f>OpEx!BI22</f>
        <v>0</v>
      </c>
      <c r="BJ36" s="29">
        <f>OpEx!BJ22</f>
        <v>0</v>
      </c>
      <c r="BK36" s="24">
        <f>SUMPRODUCT((YEAR(EDATE(Controls!$B$6,COLUMN($C$1:$BJ$1)-COLUMN($C$1)))=YEAR(Controls!$B$6)+0)*(COLUMN($C$1:$BJ$1)-COLUMN($C$1)&lt;Controls!$B$7)*$C$36:$BJ$36)</f>
        <v>30000</v>
      </c>
      <c r="BL36" s="24">
        <f>SUMPRODUCT((YEAR(EDATE(Controls!$B$6,COLUMN($C$1:$BJ$1)-COLUMN($C$1)))=YEAR(Controls!$B$6)+1)*(COLUMN($C$1:$BJ$1)-COLUMN($C$1)&lt;Controls!$B$7)*$C$36:$BJ$36)</f>
        <v>34500</v>
      </c>
      <c r="BM36" s="24">
        <f>SUMPRODUCT((YEAR(EDATE(Controls!$B$6,COLUMN($C$1:$BJ$1)-COLUMN($C$1)))=YEAR(Controls!$B$6)+2)*(COLUMN($C$1:$BJ$1)-COLUMN($C$1)&lt;Controls!$B$7)*$C$36:$BJ$36)</f>
        <v>39674.999999999993</v>
      </c>
      <c r="BN36" s="24">
        <f>SUMPRODUCT((YEAR(EDATE(Controls!$B$6,COLUMN($C$1:$BJ$1)-COLUMN($C$1)))=YEAR(Controls!$B$6)+3)*(COLUMN($C$1:$BJ$1)-COLUMN($C$1)&lt;Controls!$B$7)*$C$36:$BJ$36)</f>
        <v>0</v>
      </c>
      <c r="BO36" s="24">
        <f>SUMPRODUCT((YEAR(EDATE(Controls!$B$6,COLUMN($C$1:$BJ$1)-COLUMN($C$1)))=YEAR(Controls!$B$6)+4)*(COLUMN($C$1:$BJ$1)-COLUMN($C$1)&lt;Controls!$B$7)*$C$36:$BJ$36)</f>
        <v>0</v>
      </c>
      <c r="BP36" s="24">
        <f>SUMPRODUCT((YEAR(EDATE(Controls!$B$6,COLUMN($C$1:$BJ$1)-COLUMN($C$1)))=YEAR(Controls!$B$6)+5)*(COLUMN($C$1:$BJ$1)-COLUMN($C$1)&lt;Controls!$B$7)*$C$36:$BJ$36)</f>
        <v>0</v>
      </c>
    </row>
    <row r="37" spans="1:68" x14ac:dyDescent="0.35">
      <c r="A37" s="15" t="s">
        <v>267</v>
      </c>
      <c r="B37" s="20" t="s">
        <v>124</v>
      </c>
      <c r="C37" s="29">
        <f>OpEx!C23</f>
        <v>1500</v>
      </c>
      <c r="D37" s="29">
        <f>OpEx!D23</f>
        <v>1500</v>
      </c>
      <c r="E37" s="29">
        <f>OpEx!E23</f>
        <v>1500</v>
      </c>
      <c r="F37" s="29">
        <f>OpEx!F23</f>
        <v>1500</v>
      </c>
      <c r="G37" s="29">
        <f>OpEx!G23</f>
        <v>1500</v>
      </c>
      <c r="H37" s="29">
        <f>OpEx!H23</f>
        <v>1500</v>
      </c>
      <c r="I37" s="29">
        <f>OpEx!I23</f>
        <v>1500</v>
      </c>
      <c r="J37" s="29">
        <f>OpEx!J23</f>
        <v>1500</v>
      </c>
      <c r="K37" s="29">
        <f>OpEx!K23</f>
        <v>1500</v>
      </c>
      <c r="L37" s="29">
        <f>OpEx!L23</f>
        <v>1500</v>
      </c>
      <c r="M37" s="29">
        <f>OpEx!M23</f>
        <v>1500</v>
      </c>
      <c r="N37" s="29">
        <f>OpEx!N23</f>
        <v>1500</v>
      </c>
      <c r="O37" s="29">
        <f>OpEx!O23</f>
        <v>1724.9999999999998</v>
      </c>
      <c r="P37" s="29">
        <f>OpEx!P23</f>
        <v>1724.9999999999998</v>
      </c>
      <c r="Q37" s="29">
        <f>OpEx!Q23</f>
        <v>1724.9999999999998</v>
      </c>
      <c r="R37" s="29">
        <f>OpEx!R23</f>
        <v>1724.9999999999998</v>
      </c>
      <c r="S37" s="29">
        <f>OpEx!S23</f>
        <v>1724.9999999999998</v>
      </c>
      <c r="T37" s="29">
        <f>OpEx!T23</f>
        <v>1724.9999999999998</v>
      </c>
      <c r="U37" s="29">
        <f>OpEx!U23</f>
        <v>1724.9999999999998</v>
      </c>
      <c r="V37" s="29">
        <f>OpEx!V23</f>
        <v>1724.9999999999998</v>
      </c>
      <c r="W37" s="29">
        <f>OpEx!W23</f>
        <v>1724.9999999999998</v>
      </c>
      <c r="X37" s="29">
        <f>OpEx!X23</f>
        <v>1724.9999999999998</v>
      </c>
      <c r="Y37" s="29">
        <f>OpEx!Y23</f>
        <v>1724.9999999999998</v>
      </c>
      <c r="Z37" s="29">
        <f>OpEx!Z23</f>
        <v>1724.9999999999998</v>
      </c>
      <c r="AA37" s="29">
        <f>OpEx!AA23</f>
        <v>1983.7499999999995</v>
      </c>
      <c r="AB37" s="29">
        <f>OpEx!AB23</f>
        <v>1983.7499999999995</v>
      </c>
      <c r="AC37" s="29">
        <f>OpEx!AC23</f>
        <v>1983.7499999999995</v>
      </c>
      <c r="AD37" s="29">
        <f>OpEx!AD23</f>
        <v>1983.7499999999995</v>
      </c>
      <c r="AE37" s="29">
        <f>OpEx!AE23</f>
        <v>1983.7499999999995</v>
      </c>
      <c r="AF37" s="29">
        <f>OpEx!AF23</f>
        <v>1983.7499999999995</v>
      </c>
      <c r="AG37" s="29">
        <f>OpEx!AG23</f>
        <v>1983.7499999999995</v>
      </c>
      <c r="AH37" s="29">
        <f>OpEx!AH23</f>
        <v>1983.7499999999995</v>
      </c>
      <c r="AI37" s="29">
        <f>OpEx!AI23</f>
        <v>1983.7499999999995</v>
      </c>
      <c r="AJ37" s="29">
        <f>OpEx!AJ23</f>
        <v>1983.7499999999995</v>
      </c>
      <c r="AK37" s="29">
        <f>OpEx!AK23</f>
        <v>1983.7499999999995</v>
      </c>
      <c r="AL37" s="29">
        <f>OpEx!AL23</f>
        <v>1983.7499999999995</v>
      </c>
      <c r="AM37" s="29">
        <f>OpEx!AM23</f>
        <v>0</v>
      </c>
      <c r="AN37" s="29">
        <f>OpEx!AN23</f>
        <v>0</v>
      </c>
      <c r="AO37" s="29">
        <f>OpEx!AO23</f>
        <v>0</v>
      </c>
      <c r="AP37" s="29">
        <f>OpEx!AP23</f>
        <v>0</v>
      </c>
      <c r="AQ37" s="29">
        <f>OpEx!AQ23</f>
        <v>0</v>
      </c>
      <c r="AR37" s="29">
        <f>OpEx!AR23</f>
        <v>0</v>
      </c>
      <c r="AS37" s="29">
        <f>OpEx!AS23</f>
        <v>0</v>
      </c>
      <c r="AT37" s="29">
        <f>OpEx!AT23</f>
        <v>0</v>
      </c>
      <c r="AU37" s="29">
        <f>OpEx!AU23</f>
        <v>0</v>
      </c>
      <c r="AV37" s="29">
        <f>OpEx!AV23</f>
        <v>0</v>
      </c>
      <c r="AW37" s="29">
        <f>OpEx!AW23</f>
        <v>0</v>
      </c>
      <c r="AX37" s="29">
        <f>OpEx!AX23</f>
        <v>0</v>
      </c>
      <c r="AY37" s="29">
        <f>OpEx!AY23</f>
        <v>0</v>
      </c>
      <c r="AZ37" s="29">
        <f>OpEx!AZ23</f>
        <v>0</v>
      </c>
      <c r="BA37" s="29">
        <f>OpEx!BA23</f>
        <v>0</v>
      </c>
      <c r="BB37" s="29">
        <f>OpEx!BB23</f>
        <v>0</v>
      </c>
      <c r="BC37" s="29">
        <f>OpEx!BC23</f>
        <v>0</v>
      </c>
      <c r="BD37" s="29">
        <f>OpEx!BD23</f>
        <v>0</v>
      </c>
      <c r="BE37" s="29">
        <f>OpEx!BE23</f>
        <v>0</v>
      </c>
      <c r="BF37" s="29">
        <f>OpEx!BF23</f>
        <v>0</v>
      </c>
      <c r="BG37" s="29">
        <f>OpEx!BG23</f>
        <v>0</v>
      </c>
      <c r="BH37" s="29">
        <f>OpEx!BH23</f>
        <v>0</v>
      </c>
      <c r="BI37" s="29">
        <f>OpEx!BI23</f>
        <v>0</v>
      </c>
      <c r="BJ37" s="29">
        <f>OpEx!BJ23</f>
        <v>0</v>
      </c>
      <c r="BK37" s="24">
        <f>SUMPRODUCT((YEAR(EDATE(Controls!$B$6,COLUMN($C$1:$BJ$1)-COLUMN($C$1)))=YEAR(Controls!$B$6)+0)*(COLUMN($C$1:$BJ$1)-COLUMN($C$1)&lt;Controls!$B$7)*$C$37:$BJ$37)</f>
        <v>18000</v>
      </c>
      <c r="BL37" s="24">
        <f>SUMPRODUCT((YEAR(EDATE(Controls!$B$6,COLUMN($C$1:$BJ$1)-COLUMN($C$1)))=YEAR(Controls!$B$6)+1)*(COLUMN($C$1:$BJ$1)-COLUMN($C$1)&lt;Controls!$B$7)*$C$37:$BJ$37)</f>
        <v>20699.999999999996</v>
      </c>
      <c r="BM37" s="24">
        <f>SUMPRODUCT((YEAR(EDATE(Controls!$B$6,COLUMN($C$1:$BJ$1)-COLUMN($C$1)))=YEAR(Controls!$B$6)+2)*(COLUMN($C$1:$BJ$1)-COLUMN($C$1)&lt;Controls!$B$7)*$C$37:$BJ$37)</f>
        <v>23804.999999999996</v>
      </c>
      <c r="BN37" s="24">
        <f>SUMPRODUCT((YEAR(EDATE(Controls!$B$6,COLUMN($C$1:$BJ$1)-COLUMN($C$1)))=YEAR(Controls!$B$6)+3)*(COLUMN($C$1:$BJ$1)-COLUMN($C$1)&lt;Controls!$B$7)*$C$37:$BJ$37)</f>
        <v>0</v>
      </c>
      <c r="BO37" s="24">
        <f>SUMPRODUCT((YEAR(EDATE(Controls!$B$6,COLUMN($C$1:$BJ$1)-COLUMN($C$1)))=YEAR(Controls!$B$6)+4)*(COLUMN($C$1:$BJ$1)-COLUMN($C$1)&lt;Controls!$B$7)*$C$37:$BJ$37)</f>
        <v>0</v>
      </c>
      <c r="BP37" s="24">
        <f>SUMPRODUCT((YEAR(EDATE(Controls!$B$6,COLUMN($C$1:$BJ$1)-COLUMN($C$1)))=YEAR(Controls!$B$6)+5)*(COLUMN($C$1:$BJ$1)-COLUMN($C$1)&lt;Controls!$B$7)*$C$37:$BJ$37)</f>
        <v>0</v>
      </c>
    </row>
    <row r="38" spans="1:68" x14ac:dyDescent="0.35">
      <c r="A38" s="15" t="s">
        <v>268</v>
      </c>
      <c r="B38" s="20" t="s">
        <v>124</v>
      </c>
      <c r="C38" s="29">
        <f>OpEx!C24</f>
        <v>2000</v>
      </c>
      <c r="D38" s="29">
        <f>OpEx!D24</f>
        <v>2000</v>
      </c>
      <c r="E38" s="29">
        <f>OpEx!E24</f>
        <v>2000</v>
      </c>
      <c r="F38" s="29">
        <f>OpEx!F24</f>
        <v>2000</v>
      </c>
      <c r="G38" s="29">
        <f>OpEx!G24</f>
        <v>2000</v>
      </c>
      <c r="H38" s="29">
        <f>OpEx!H24</f>
        <v>2000</v>
      </c>
      <c r="I38" s="29">
        <f>OpEx!I24</f>
        <v>2000</v>
      </c>
      <c r="J38" s="29">
        <f>OpEx!J24</f>
        <v>2000</v>
      </c>
      <c r="K38" s="29">
        <f>OpEx!K24</f>
        <v>2000</v>
      </c>
      <c r="L38" s="29">
        <f>OpEx!L24</f>
        <v>2000</v>
      </c>
      <c r="M38" s="29">
        <f>OpEx!M24</f>
        <v>2000</v>
      </c>
      <c r="N38" s="29">
        <f>OpEx!N24</f>
        <v>2000</v>
      </c>
      <c r="O38" s="29">
        <f>OpEx!O24</f>
        <v>2300</v>
      </c>
      <c r="P38" s="29">
        <f>OpEx!P24</f>
        <v>2300</v>
      </c>
      <c r="Q38" s="29">
        <f>OpEx!Q24</f>
        <v>2300</v>
      </c>
      <c r="R38" s="29">
        <f>OpEx!R24</f>
        <v>2300</v>
      </c>
      <c r="S38" s="29">
        <f>OpEx!S24</f>
        <v>2300</v>
      </c>
      <c r="T38" s="29">
        <f>OpEx!T24</f>
        <v>2300</v>
      </c>
      <c r="U38" s="29">
        <f>OpEx!U24</f>
        <v>2300</v>
      </c>
      <c r="V38" s="29">
        <f>OpEx!V24</f>
        <v>2300</v>
      </c>
      <c r="W38" s="29">
        <f>OpEx!W24</f>
        <v>2300</v>
      </c>
      <c r="X38" s="29">
        <f>OpEx!X24</f>
        <v>2300</v>
      </c>
      <c r="Y38" s="29">
        <f>OpEx!Y24</f>
        <v>2300</v>
      </c>
      <c r="Z38" s="29">
        <f>OpEx!Z24</f>
        <v>2300</v>
      </c>
      <c r="AA38" s="29">
        <f>OpEx!AA24</f>
        <v>2645</v>
      </c>
      <c r="AB38" s="29">
        <f>OpEx!AB24</f>
        <v>2645</v>
      </c>
      <c r="AC38" s="29">
        <f>OpEx!AC24</f>
        <v>2645</v>
      </c>
      <c r="AD38" s="29">
        <f>OpEx!AD24</f>
        <v>2645</v>
      </c>
      <c r="AE38" s="29">
        <f>OpEx!AE24</f>
        <v>2645</v>
      </c>
      <c r="AF38" s="29">
        <f>OpEx!AF24</f>
        <v>2645</v>
      </c>
      <c r="AG38" s="29">
        <f>OpEx!AG24</f>
        <v>2645</v>
      </c>
      <c r="AH38" s="29">
        <f>OpEx!AH24</f>
        <v>2645</v>
      </c>
      <c r="AI38" s="29">
        <f>OpEx!AI24</f>
        <v>2645</v>
      </c>
      <c r="AJ38" s="29">
        <f>OpEx!AJ24</f>
        <v>2645</v>
      </c>
      <c r="AK38" s="29">
        <f>OpEx!AK24</f>
        <v>2645</v>
      </c>
      <c r="AL38" s="29">
        <f>OpEx!AL24</f>
        <v>2645</v>
      </c>
      <c r="AM38" s="29">
        <f>OpEx!AM24</f>
        <v>0</v>
      </c>
      <c r="AN38" s="29">
        <f>OpEx!AN24</f>
        <v>0</v>
      </c>
      <c r="AO38" s="29">
        <f>OpEx!AO24</f>
        <v>0</v>
      </c>
      <c r="AP38" s="29">
        <f>OpEx!AP24</f>
        <v>0</v>
      </c>
      <c r="AQ38" s="29">
        <f>OpEx!AQ24</f>
        <v>0</v>
      </c>
      <c r="AR38" s="29">
        <f>OpEx!AR24</f>
        <v>0</v>
      </c>
      <c r="AS38" s="29">
        <f>OpEx!AS24</f>
        <v>0</v>
      </c>
      <c r="AT38" s="29">
        <f>OpEx!AT24</f>
        <v>0</v>
      </c>
      <c r="AU38" s="29">
        <f>OpEx!AU24</f>
        <v>0</v>
      </c>
      <c r="AV38" s="29">
        <f>OpEx!AV24</f>
        <v>0</v>
      </c>
      <c r="AW38" s="29">
        <f>OpEx!AW24</f>
        <v>0</v>
      </c>
      <c r="AX38" s="29">
        <f>OpEx!AX24</f>
        <v>0</v>
      </c>
      <c r="AY38" s="29">
        <f>OpEx!AY24</f>
        <v>0</v>
      </c>
      <c r="AZ38" s="29">
        <f>OpEx!AZ24</f>
        <v>0</v>
      </c>
      <c r="BA38" s="29">
        <f>OpEx!BA24</f>
        <v>0</v>
      </c>
      <c r="BB38" s="29">
        <f>OpEx!BB24</f>
        <v>0</v>
      </c>
      <c r="BC38" s="29">
        <f>OpEx!BC24</f>
        <v>0</v>
      </c>
      <c r="BD38" s="29">
        <f>OpEx!BD24</f>
        <v>0</v>
      </c>
      <c r="BE38" s="29">
        <f>OpEx!BE24</f>
        <v>0</v>
      </c>
      <c r="BF38" s="29">
        <f>OpEx!BF24</f>
        <v>0</v>
      </c>
      <c r="BG38" s="29">
        <f>OpEx!BG24</f>
        <v>0</v>
      </c>
      <c r="BH38" s="29">
        <f>OpEx!BH24</f>
        <v>0</v>
      </c>
      <c r="BI38" s="29">
        <f>OpEx!BI24</f>
        <v>0</v>
      </c>
      <c r="BJ38" s="29">
        <f>OpEx!BJ24</f>
        <v>0</v>
      </c>
      <c r="BK38" s="24">
        <f>SUMPRODUCT((YEAR(EDATE(Controls!$B$6,COLUMN($C$1:$BJ$1)-COLUMN($C$1)))=YEAR(Controls!$B$6)+0)*(COLUMN($C$1:$BJ$1)-COLUMN($C$1)&lt;Controls!$B$7)*$C$38:$BJ$38)</f>
        <v>24000</v>
      </c>
      <c r="BL38" s="24">
        <f>SUMPRODUCT((YEAR(EDATE(Controls!$B$6,COLUMN($C$1:$BJ$1)-COLUMN($C$1)))=YEAR(Controls!$B$6)+1)*(COLUMN($C$1:$BJ$1)-COLUMN($C$1)&lt;Controls!$B$7)*$C$38:$BJ$38)</f>
        <v>27600</v>
      </c>
      <c r="BM38" s="24">
        <f>SUMPRODUCT((YEAR(EDATE(Controls!$B$6,COLUMN($C$1:$BJ$1)-COLUMN($C$1)))=YEAR(Controls!$B$6)+2)*(COLUMN($C$1:$BJ$1)-COLUMN($C$1)&lt;Controls!$B$7)*$C$38:$BJ$38)</f>
        <v>31740</v>
      </c>
      <c r="BN38" s="24">
        <f>SUMPRODUCT((YEAR(EDATE(Controls!$B$6,COLUMN($C$1:$BJ$1)-COLUMN($C$1)))=YEAR(Controls!$B$6)+3)*(COLUMN($C$1:$BJ$1)-COLUMN($C$1)&lt;Controls!$B$7)*$C$38:$BJ$38)</f>
        <v>0</v>
      </c>
      <c r="BO38" s="24">
        <f>SUMPRODUCT((YEAR(EDATE(Controls!$B$6,COLUMN($C$1:$BJ$1)-COLUMN($C$1)))=YEAR(Controls!$B$6)+4)*(COLUMN($C$1:$BJ$1)-COLUMN($C$1)&lt;Controls!$B$7)*$C$38:$BJ$38)</f>
        <v>0</v>
      </c>
      <c r="BP38" s="24">
        <f>SUMPRODUCT((YEAR(EDATE(Controls!$B$6,COLUMN($C$1:$BJ$1)-COLUMN($C$1)))=YEAR(Controls!$B$6)+5)*(COLUMN($C$1:$BJ$1)-COLUMN($C$1)&lt;Controls!$B$7)*$C$38:$BJ$38)</f>
        <v>0</v>
      </c>
    </row>
    <row r="39" spans="1:68" x14ac:dyDescent="0.35">
      <c r="A39" s="6" t="s">
        <v>269</v>
      </c>
      <c r="B39" s="20" t="s">
        <v>124</v>
      </c>
      <c r="C39" s="24">
        <f t="shared" ref="C39:AH39" si="14">C35+C36+C37+C38</f>
        <v>18565</v>
      </c>
      <c r="D39" s="24">
        <f t="shared" si="14"/>
        <v>18565</v>
      </c>
      <c r="E39" s="24">
        <f t="shared" si="14"/>
        <v>18565</v>
      </c>
      <c r="F39" s="24">
        <f t="shared" si="14"/>
        <v>18565</v>
      </c>
      <c r="G39" s="24">
        <f t="shared" si="14"/>
        <v>18565</v>
      </c>
      <c r="H39" s="24">
        <f t="shared" si="14"/>
        <v>18565</v>
      </c>
      <c r="I39" s="24">
        <f t="shared" si="14"/>
        <v>18565</v>
      </c>
      <c r="J39" s="24">
        <f t="shared" si="14"/>
        <v>18565</v>
      </c>
      <c r="K39" s="24">
        <f t="shared" si="14"/>
        <v>18565</v>
      </c>
      <c r="L39" s="24">
        <f t="shared" si="14"/>
        <v>18565</v>
      </c>
      <c r="M39" s="24">
        <f t="shared" si="14"/>
        <v>18565</v>
      </c>
      <c r="N39" s="24">
        <f t="shared" si="14"/>
        <v>18565</v>
      </c>
      <c r="O39" s="24">
        <f t="shared" si="14"/>
        <v>21349.75</v>
      </c>
      <c r="P39" s="24">
        <f t="shared" si="14"/>
        <v>21349.75</v>
      </c>
      <c r="Q39" s="24">
        <f t="shared" si="14"/>
        <v>21349.75</v>
      </c>
      <c r="R39" s="24">
        <f t="shared" si="14"/>
        <v>21349.75</v>
      </c>
      <c r="S39" s="24">
        <f t="shared" si="14"/>
        <v>21349.75</v>
      </c>
      <c r="T39" s="24">
        <f t="shared" si="14"/>
        <v>21349.75</v>
      </c>
      <c r="U39" s="24">
        <f t="shared" si="14"/>
        <v>21349.75</v>
      </c>
      <c r="V39" s="24">
        <f t="shared" si="14"/>
        <v>21349.75</v>
      </c>
      <c r="W39" s="24">
        <f t="shared" si="14"/>
        <v>21349.75</v>
      </c>
      <c r="X39" s="24">
        <f t="shared" si="14"/>
        <v>21349.75</v>
      </c>
      <c r="Y39" s="24">
        <f t="shared" si="14"/>
        <v>21349.75</v>
      </c>
      <c r="Z39" s="24">
        <f t="shared" si="14"/>
        <v>21349.75</v>
      </c>
      <c r="AA39" s="24">
        <f t="shared" si="14"/>
        <v>24552.212499999998</v>
      </c>
      <c r="AB39" s="24">
        <f t="shared" si="14"/>
        <v>24552.212499999998</v>
      </c>
      <c r="AC39" s="24">
        <f t="shared" si="14"/>
        <v>24552.212499999998</v>
      </c>
      <c r="AD39" s="24">
        <f t="shared" si="14"/>
        <v>24552.212499999998</v>
      </c>
      <c r="AE39" s="24">
        <f t="shared" si="14"/>
        <v>24552.212499999998</v>
      </c>
      <c r="AF39" s="24">
        <f t="shared" si="14"/>
        <v>24552.212499999998</v>
      </c>
      <c r="AG39" s="24">
        <f t="shared" si="14"/>
        <v>24552.212499999998</v>
      </c>
      <c r="AH39" s="24">
        <f t="shared" si="14"/>
        <v>24552.212499999998</v>
      </c>
      <c r="AI39" s="24">
        <f t="shared" ref="AI39:BJ39" si="15">AI35+AI36+AI37+AI38</f>
        <v>24552.212499999998</v>
      </c>
      <c r="AJ39" s="24">
        <f t="shared" si="15"/>
        <v>24552.212499999998</v>
      </c>
      <c r="AK39" s="24">
        <f t="shared" si="15"/>
        <v>24552.212499999998</v>
      </c>
      <c r="AL39" s="24">
        <f t="shared" si="15"/>
        <v>24552.212499999998</v>
      </c>
      <c r="AM39" s="24">
        <f t="shared" si="15"/>
        <v>0</v>
      </c>
      <c r="AN39" s="24">
        <f t="shared" si="15"/>
        <v>0</v>
      </c>
      <c r="AO39" s="24">
        <f t="shared" si="15"/>
        <v>0</v>
      </c>
      <c r="AP39" s="24">
        <f t="shared" si="15"/>
        <v>0</v>
      </c>
      <c r="AQ39" s="24">
        <f t="shared" si="15"/>
        <v>0</v>
      </c>
      <c r="AR39" s="24">
        <f t="shared" si="15"/>
        <v>0</v>
      </c>
      <c r="AS39" s="24">
        <f t="shared" si="15"/>
        <v>0</v>
      </c>
      <c r="AT39" s="24">
        <f t="shared" si="15"/>
        <v>0</v>
      </c>
      <c r="AU39" s="24">
        <f t="shared" si="15"/>
        <v>0</v>
      </c>
      <c r="AV39" s="24">
        <f t="shared" si="15"/>
        <v>0</v>
      </c>
      <c r="AW39" s="24">
        <f t="shared" si="15"/>
        <v>0</v>
      </c>
      <c r="AX39" s="24">
        <f t="shared" si="15"/>
        <v>0</v>
      </c>
      <c r="AY39" s="24">
        <f t="shared" si="15"/>
        <v>0</v>
      </c>
      <c r="AZ39" s="24">
        <f t="shared" si="15"/>
        <v>0</v>
      </c>
      <c r="BA39" s="24">
        <f t="shared" si="15"/>
        <v>0</v>
      </c>
      <c r="BB39" s="24">
        <f t="shared" si="15"/>
        <v>0</v>
      </c>
      <c r="BC39" s="24">
        <f t="shared" si="15"/>
        <v>0</v>
      </c>
      <c r="BD39" s="24">
        <f t="shared" si="15"/>
        <v>0</v>
      </c>
      <c r="BE39" s="24">
        <f t="shared" si="15"/>
        <v>0</v>
      </c>
      <c r="BF39" s="24">
        <f t="shared" si="15"/>
        <v>0</v>
      </c>
      <c r="BG39" s="24">
        <f t="shared" si="15"/>
        <v>0</v>
      </c>
      <c r="BH39" s="24">
        <f t="shared" si="15"/>
        <v>0</v>
      </c>
      <c r="BI39" s="24">
        <f t="shared" si="15"/>
        <v>0</v>
      </c>
      <c r="BJ39" s="24">
        <f t="shared" si="15"/>
        <v>0</v>
      </c>
      <c r="BK39" s="24">
        <f>SUMPRODUCT((YEAR(EDATE(Controls!$B$6,COLUMN($C$1:$BJ$1)-COLUMN($C$1)))=YEAR(Controls!$B$6)+0)*(COLUMN($C$1:$BJ$1)-COLUMN($C$1)&lt;Controls!$B$7)*$C$39:$BJ$39)</f>
        <v>222780</v>
      </c>
      <c r="BL39" s="24">
        <f>SUMPRODUCT((YEAR(EDATE(Controls!$B$6,COLUMN($C$1:$BJ$1)-COLUMN($C$1)))=YEAR(Controls!$B$6)+1)*(COLUMN($C$1:$BJ$1)-COLUMN($C$1)&lt;Controls!$B$7)*$C$39:$BJ$39)</f>
        <v>256197</v>
      </c>
      <c r="BM39" s="24">
        <f>SUMPRODUCT((YEAR(EDATE(Controls!$B$6,COLUMN($C$1:$BJ$1)-COLUMN($C$1)))=YEAR(Controls!$B$6)+2)*(COLUMN($C$1:$BJ$1)-COLUMN($C$1)&lt;Controls!$B$7)*$C$39:$BJ$39)</f>
        <v>294626.55</v>
      </c>
      <c r="BN39" s="24">
        <f>SUMPRODUCT((YEAR(EDATE(Controls!$B$6,COLUMN($C$1:$BJ$1)-COLUMN($C$1)))=YEAR(Controls!$B$6)+3)*(COLUMN($C$1:$BJ$1)-COLUMN($C$1)&lt;Controls!$B$7)*$C$39:$BJ$39)</f>
        <v>0</v>
      </c>
      <c r="BO39" s="24">
        <f>SUMPRODUCT((YEAR(EDATE(Controls!$B$6,COLUMN($C$1:$BJ$1)-COLUMN($C$1)))=YEAR(Controls!$B$6)+4)*(COLUMN($C$1:$BJ$1)-COLUMN($C$1)&lt;Controls!$B$7)*$C$39:$BJ$39)</f>
        <v>0</v>
      </c>
      <c r="BP39" s="24">
        <f>SUMPRODUCT((YEAR(EDATE(Controls!$B$6,COLUMN($C$1:$BJ$1)-COLUMN($C$1)))=YEAR(Controls!$B$6)+5)*(COLUMN($C$1:$BJ$1)-COLUMN($C$1)&lt;Controls!$B$7)*$C$39:$BJ$39)</f>
        <v>0</v>
      </c>
    </row>
    <row r="41" spans="1:68" x14ac:dyDescent="0.35">
      <c r="A41" s="6" t="s">
        <v>270</v>
      </c>
      <c r="B41" s="20" t="s">
        <v>124</v>
      </c>
      <c r="C41" s="24">
        <f t="shared" ref="C41:AH41" si="16">C25+C32+C39</f>
        <v>77542.5</v>
      </c>
      <c r="D41" s="24">
        <f t="shared" si="16"/>
        <v>77542.5</v>
      </c>
      <c r="E41" s="24">
        <f t="shared" si="16"/>
        <v>77542.5</v>
      </c>
      <c r="F41" s="24">
        <f t="shared" si="16"/>
        <v>77542.5</v>
      </c>
      <c r="G41" s="24">
        <f t="shared" si="16"/>
        <v>77542.5</v>
      </c>
      <c r="H41" s="24">
        <f t="shared" si="16"/>
        <v>77542.5</v>
      </c>
      <c r="I41" s="24">
        <f t="shared" si="16"/>
        <v>77542.5</v>
      </c>
      <c r="J41" s="24">
        <f t="shared" si="16"/>
        <v>77542.5</v>
      </c>
      <c r="K41" s="24">
        <f t="shared" si="16"/>
        <v>77542.5</v>
      </c>
      <c r="L41" s="24">
        <f t="shared" si="16"/>
        <v>77542.5</v>
      </c>
      <c r="M41" s="24">
        <f t="shared" si="16"/>
        <v>77542.5</v>
      </c>
      <c r="N41" s="24">
        <f t="shared" si="16"/>
        <v>77542.5</v>
      </c>
      <c r="O41" s="24">
        <f t="shared" si="16"/>
        <v>97164</v>
      </c>
      <c r="P41" s="24">
        <f t="shared" si="16"/>
        <v>97164</v>
      </c>
      <c r="Q41" s="24">
        <f t="shared" si="16"/>
        <v>97164</v>
      </c>
      <c r="R41" s="24">
        <f t="shared" si="16"/>
        <v>97164</v>
      </c>
      <c r="S41" s="24">
        <f t="shared" si="16"/>
        <v>97164</v>
      </c>
      <c r="T41" s="24">
        <f t="shared" si="16"/>
        <v>97164</v>
      </c>
      <c r="U41" s="24">
        <f t="shared" si="16"/>
        <v>97164</v>
      </c>
      <c r="V41" s="24">
        <f t="shared" si="16"/>
        <v>97164</v>
      </c>
      <c r="W41" s="24">
        <f t="shared" si="16"/>
        <v>97164</v>
      </c>
      <c r="X41" s="24">
        <f t="shared" si="16"/>
        <v>97164</v>
      </c>
      <c r="Y41" s="24">
        <f t="shared" si="16"/>
        <v>97164</v>
      </c>
      <c r="Z41" s="24">
        <f t="shared" si="16"/>
        <v>97164</v>
      </c>
      <c r="AA41" s="24">
        <f t="shared" si="16"/>
        <v>122097.61249999999</v>
      </c>
      <c r="AB41" s="24">
        <f t="shared" si="16"/>
        <v>122097.61249999999</v>
      </c>
      <c r="AC41" s="24">
        <f t="shared" si="16"/>
        <v>122097.61249999999</v>
      </c>
      <c r="AD41" s="24">
        <f t="shared" si="16"/>
        <v>122097.61249999999</v>
      </c>
      <c r="AE41" s="24">
        <f t="shared" si="16"/>
        <v>122097.61249999999</v>
      </c>
      <c r="AF41" s="24">
        <f t="shared" si="16"/>
        <v>122097.61249999999</v>
      </c>
      <c r="AG41" s="24">
        <f t="shared" si="16"/>
        <v>122097.61249999999</v>
      </c>
      <c r="AH41" s="24">
        <f t="shared" si="16"/>
        <v>122097.61249999999</v>
      </c>
      <c r="AI41" s="24">
        <f t="shared" ref="AI41:BJ41" si="17">AI25+AI32+AI39</f>
        <v>122097.61249999999</v>
      </c>
      <c r="AJ41" s="24">
        <f t="shared" si="17"/>
        <v>122097.61249999999</v>
      </c>
      <c r="AK41" s="24">
        <f t="shared" si="17"/>
        <v>122097.61249999999</v>
      </c>
      <c r="AL41" s="24">
        <f t="shared" si="17"/>
        <v>122097.61249999999</v>
      </c>
      <c r="AM41" s="24">
        <f t="shared" si="17"/>
        <v>0</v>
      </c>
      <c r="AN41" s="24">
        <f t="shared" si="17"/>
        <v>0</v>
      </c>
      <c r="AO41" s="24">
        <f t="shared" si="17"/>
        <v>0</v>
      </c>
      <c r="AP41" s="24">
        <f t="shared" si="17"/>
        <v>0</v>
      </c>
      <c r="AQ41" s="24">
        <f t="shared" si="17"/>
        <v>0</v>
      </c>
      <c r="AR41" s="24">
        <f t="shared" si="17"/>
        <v>0</v>
      </c>
      <c r="AS41" s="24">
        <f t="shared" si="17"/>
        <v>0</v>
      </c>
      <c r="AT41" s="24">
        <f t="shared" si="17"/>
        <v>0</v>
      </c>
      <c r="AU41" s="24">
        <f t="shared" si="17"/>
        <v>0</v>
      </c>
      <c r="AV41" s="24">
        <f t="shared" si="17"/>
        <v>0</v>
      </c>
      <c r="AW41" s="24">
        <f t="shared" si="17"/>
        <v>0</v>
      </c>
      <c r="AX41" s="24">
        <f t="shared" si="17"/>
        <v>0</v>
      </c>
      <c r="AY41" s="24">
        <f t="shared" si="17"/>
        <v>0</v>
      </c>
      <c r="AZ41" s="24">
        <f t="shared" si="17"/>
        <v>0</v>
      </c>
      <c r="BA41" s="24">
        <f t="shared" si="17"/>
        <v>0</v>
      </c>
      <c r="BB41" s="24">
        <f t="shared" si="17"/>
        <v>0</v>
      </c>
      <c r="BC41" s="24">
        <f t="shared" si="17"/>
        <v>0</v>
      </c>
      <c r="BD41" s="24">
        <f t="shared" si="17"/>
        <v>0</v>
      </c>
      <c r="BE41" s="24">
        <f t="shared" si="17"/>
        <v>0</v>
      </c>
      <c r="BF41" s="24">
        <f t="shared" si="17"/>
        <v>0</v>
      </c>
      <c r="BG41" s="24">
        <f t="shared" si="17"/>
        <v>0</v>
      </c>
      <c r="BH41" s="24">
        <f t="shared" si="17"/>
        <v>0</v>
      </c>
      <c r="BI41" s="24">
        <f t="shared" si="17"/>
        <v>0</v>
      </c>
      <c r="BJ41" s="24">
        <f t="shared" si="17"/>
        <v>0</v>
      </c>
      <c r="BK41" s="24">
        <f>SUMPRODUCT((YEAR(EDATE(Controls!$B$6,COLUMN($C$1:$BJ$1)-COLUMN($C$1)))=YEAR(Controls!$B$6)+0)*(COLUMN($C$1:$BJ$1)-COLUMN($C$1)&lt;Controls!$B$7)*$C$41:$BJ$41)</f>
        <v>930510</v>
      </c>
      <c r="BL41" s="24">
        <f>SUMPRODUCT((YEAR(EDATE(Controls!$B$6,COLUMN($C$1:$BJ$1)-COLUMN($C$1)))=YEAR(Controls!$B$6)+1)*(COLUMN($C$1:$BJ$1)-COLUMN($C$1)&lt;Controls!$B$7)*$C$41:$BJ$41)</f>
        <v>1165968</v>
      </c>
      <c r="BM41" s="24">
        <f>SUMPRODUCT((YEAR(EDATE(Controls!$B$6,COLUMN($C$1:$BJ$1)-COLUMN($C$1)))=YEAR(Controls!$B$6)+2)*(COLUMN($C$1:$BJ$1)-COLUMN($C$1)&lt;Controls!$B$7)*$C$41:$BJ$41)</f>
        <v>1465171.3500000003</v>
      </c>
      <c r="BN41" s="24">
        <f>SUMPRODUCT((YEAR(EDATE(Controls!$B$6,COLUMN($C$1:$BJ$1)-COLUMN($C$1)))=YEAR(Controls!$B$6)+3)*(COLUMN($C$1:$BJ$1)-COLUMN($C$1)&lt;Controls!$B$7)*$C$41:$BJ$41)</f>
        <v>0</v>
      </c>
      <c r="BO41" s="24">
        <f>SUMPRODUCT((YEAR(EDATE(Controls!$B$6,COLUMN($C$1:$BJ$1)-COLUMN($C$1)))=YEAR(Controls!$B$6)+4)*(COLUMN($C$1:$BJ$1)-COLUMN($C$1)&lt;Controls!$B$7)*$C$41:$BJ$41)</f>
        <v>0</v>
      </c>
      <c r="BP41" s="24">
        <f>SUMPRODUCT((YEAR(EDATE(Controls!$B$6,COLUMN($C$1:$BJ$1)-COLUMN($C$1)))=YEAR(Controls!$B$6)+5)*(COLUMN($C$1:$BJ$1)-COLUMN($C$1)&lt;Controls!$B$7)*$C$41:$BJ$41)</f>
        <v>0</v>
      </c>
    </row>
    <row r="42" spans="1:68" x14ac:dyDescent="0.35">
      <c r="A42" s="6" t="s">
        <v>271</v>
      </c>
      <c r="B42" s="20" t="s">
        <v>124</v>
      </c>
      <c r="C42" s="24">
        <f t="shared" ref="C42:AH42" si="18">C16-C41</f>
        <v>-79653.406000000003</v>
      </c>
      <c r="D42" s="24">
        <f t="shared" si="18"/>
        <v>-67297.431127999997</v>
      </c>
      <c r="E42" s="24">
        <f t="shared" si="18"/>
        <v>-51580.351237928546</v>
      </c>
      <c r="F42" s="24">
        <f t="shared" si="18"/>
        <v>-32593.117593534102</v>
      </c>
      <c r="G42" s="24">
        <f t="shared" si="18"/>
        <v>-9951.7898918793362</v>
      </c>
      <c r="H42" s="24">
        <f t="shared" si="18"/>
        <v>16013.697172357439</v>
      </c>
      <c r="I42" s="24">
        <f t="shared" si="18"/>
        <v>45506.805027612223</v>
      </c>
      <c r="J42" s="24">
        <f t="shared" si="18"/>
        <v>77900.320531030564</v>
      </c>
      <c r="K42" s="24">
        <f t="shared" si="18"/>
        <v>113692.05325874797</v>
      </c>
      <c r="L42" s="24">
        <f t="shared" si="18"/>
        <v>153234.41327953868</v>
      </c>
      <c r="M42" s="24">
        <f t="shared" si="18"/>
        <v>196222.45433024573</v>
      </c>
      <c r="N42" s="24">
        <f t="shared" si="18"/>
        <v>242771.23987247521</v>
      </c>
      <c r="O42" s="24">
        <f t="shared" si="18"/>
        <v>270866.91651972861</v>
      </c>
      <c r="P42" s="24">
        <f t="shared" si="18"/>
        <v>326593.53045525542</v>
      </c>
      <c r="Q42" s="24">
        <f t="shared" si="18"/>
        <v>385665.47512039013</v>
      </c>
      <c r="R42" s="24">
        <f t="shared" si="18"/>
        <v>449930.28714312275</v>
      </c>
      <c r="S42" s="24">
        <f t="shared" si="18"/>
        <v>517825.47666949267</v>
      </c>
      <c r="T42" s="24">
        <f t="shared" si="18"/>
        <v>590565.19760841469</v>
      </c>
      <c r="U42" s="24">
        <f t="shared" si="18"/>
        <v>668888.30783042638</v>
      </c>
      <c r="V42" s="24">
        <f t="shared" si="18"/>
        <v>752495.90455926105</v>
      </c>
      <c r="W42" s="24">
        <f t="shared" si="18"/>
        <v>842676.9224889183</v>
      </c>
      <c r="X42" s="24">
        <f t="shared" si="18"/>
        <v>938400.41422736587</v>
      </c>
      <c r="Y42" s="24">
        <f t="shared" si="18"/>
        <v>1041332.6015974665</v>
      </c>
      <c r="Z42" s="24">
        <f t="shared" si="18"/>
        <v>1150365.2345430423</v>
      </c>
      <c r="AA42" s="24">
        <f t="shared" si="18"/>
        <v>1238579.0907777655</v>
      </c>
      <c r="AB42" s="24">
        <f t="shared" si="18"/>
        <v>1363946.1307989147</v>
      </c>
      <c r="AC42" s="24">
        <f t="shared" si="18"/>
        <v>1497504.029678083</v>
      </c>
      <c r="AD42" s="24">
        <f t="shared" si="18"/>
        <v>1640556.3644839714</v>
      </c>
      <c r="AE42" s="24">
        <f t="shared" si="18"/>
        <v>1792630.8744403122</v>
      </c>
      <c r="AF42" s="24">
        <f t="shared" si="18"/>
        <v>1955562.359166844</v>
      </c>
      <c r="AG42" s="24">
        <f t="shared" si="18"/>
        <v>2128801.1354414872</v>
      </c>
      <c r="AH42" s="24">
        <f t="shared" si="18"/>
        <v>2314295.5599371791</v>
      </c>
      <c r="AI42" s="24">
        <f t="shared" ref="AI42:BJ42" si="19">AI16-AI41</f>
        <v>2511753.7116655111</v>
      </c>
      <c r="AJ42" s="24">
        <f t="shared" si="19"/>
        <v>2722827.3650726797</v>
      </c>
      <c r="AK42" s="24">
        <f t="shared" si="19"/>
        <v>2947469.6857884722</v>
      </c>
      <c r="AL42" s="24">
        <f t="shared" si="19"/>
        <v>3187227.1739510228</v>
      </c>
      <c r="AM42" s="24">
        <f t="shared" si="19"/>
        <v>3513071.6630960428</v>
      </c>
      <c r="AN42" s="24">
        <f t="shared" si="19"/>
        <v>3680185.5330592259</v>
      </c>
      <c r="AO42" s="24">
        <f t="shared" si="19"/>
        <v>3831323.4910863386</v>
      </c>
      <c r="AP42" s="24">
        <f t="shared" si="19"/>
        <v>3969119.7794411299</v>
      </c>
      <c r="AQ42" s="24">
        <f t="shared" si="19"/>
        <v>4093705.135530008</v>
      </c>
      <c r="AR42" s="24">
        <f t="shared" si="19"/>
        <v>4207682.1988750156</v>
      </c>
      <c r="AS42" s="24">
        <f t="shared" si="19"/>
        <v>4310901.7380593158</v>
      </c>
      <c r="AT42" s="24">
        <f t="shared" si="19"/>
        <v>4405562.0415988797</v>
      </c>
      <c r="AU42" s="24">
        <f t="shared" si="19"/>
        <v>4491362.995195399</v>
      </c>
      <c r="AV42" s="24">
        <f t="shared" si="19"/>
        <v>4570515.5980114425</v>
      </c>
      <c r="AW42" s="24">
        <f t="shared" si="19"/>
        <v>4642815.6254881136</v>
      </c>
      <c r="AX42" s="24">
        <f t="shared" si="19"/>
        <v>4709530.2781079113</v>
      </c>
      <c r="AY42" s="24">
        <f t="shared" si="19"/>
        <v>4771340.1540519875</v>
      </c>
      <c r="AZ42" s="24">
        <f t="shared" si="19"/>
        <v>4829282.6851642868</v>
      </c>
      <c r="BA42" s="24">
        <f t="shared" si="19"/>
        <v>4883326.9880150519</v>
      </c>
      <c r="BB42" s="24">
        <f t="shared" si="19"/>
        <v>4933155.4826709302</v>
      </c>
      <c r="BC42" s="24">
        <f t="shared" si="19"/>
        <v>4980602.7258979427</v>
      </c>
      <c r="BD42" s="24">
        <f t="shared" si="19"/>
        <v>5024624.2890248159</v>
      </c>
      <c r="BE42" s="24">
        <f t="shared" si="19"/>
        <v>5066984.8904617941</v>
      </c>
      <c r="BF42" s="24">
        <f t="shared" si="19"/>
        <v>5107375.6365829669</v>
      </c>
      <c r="BG42" s="24">
        <f t="shared" si="19"/>
        <v>5145259.9171760976</v>
      </c>
      <c r="BH42" s="24">
        <f t="shared" si="19"/>
        <v>5182356.7347302185</v>
      </c>
      <c r="BI42" s="24">
        <f t="shared" si="19"/>
        <v>5218132.102833746</v>
      </c>
      <c r="BJ42" s="24">
        <f t="shared" si="19"/>
        <v>5252273.9342789939</v>
      </c>
      <c r="BK42" s="24">
        <f>SUMPRODUCT((YEAR(EDATE(Controls!$B$6,COLUMN($C$1:$BJ$1)-COLUMN($C$1)))=YEAR(Controls!$B$6)+0)*(COLUMN($C$1:$BJ$1)-COLUMN($C$1)&lt;Controls!$B$7)*$C$42:$BJ$42)</f>
        <v>604264.88762066583</v>
      </c>
      <c r="BL42" s="24">
        <f>SUMPRODUCT((YEAR(EDATE(Controls!$B$6,COLUMN($C$1:$BJ$1)-COLUMN($C$1)))=YEAR(Controls!$B$6)+1)*(COLUMN($C$1:$BJ$1)-COLUMN($C$1)&lt;Controls!$B$7)*$C$42:$BJ$42)</f>
        <v>7935606.2687628847</v>
      </c>
      <c r="BM42" s="24">
        <f>SUMPRODUCT((YEAR(EDATE(Controls!$B$6,COLUMN($C$1:$BJ$1)-COLUMN($C$1)))=YEAR(Controls!$B$6)+2)*(COLUMN($C$1:$BJ$1)-COLUMN($C$1)&lt;Controls!$B$7)*$C$42:$BJ$42)</f>
        <v>25301153.481202241</v>
      </c>
      <c r="BN42" s="24">
        <f>SUMPRODUCT((YEAR(EDATE(Controls!$B$6,COLUMN($C$1:$BJ$1)-COLUMN($C$1)))=YEAR(Controls!$B$6)+3)*(COLUMN($C$1:$BJ$1)-COLUMN($C$1)&lt;Controls!$B$7)*$C$42:$BJ$42)</f>
        <v>0</v>
      </c>
      <c r="BO42" s="24">
        <f>SUMPRODUCT((YEAR(EDATE(Controls!$B$6,COLUMN($C$1:$BJ$1)-COLUMN($C$1)))=YEAR(Controls!$B$6)+4)*(COLUMN($C$1:$BJ$1)-COLUMN($C$1)&lt;Controls!$B$7)*$C$42:$BJ$42)</f>
        <v>0</v>
      </c>
      <c r="BP42" s="24">
        <f>SUMPRODUCT((YEAR(EDATE(Controls!$B$6,COLUMN($C$1:$BJ$1)-COLUMN($C$1)))=YEAR(Controls!$B$6)+5)*(COLUMN($C$1:$BJ$1)-COLUMN($C$1)&lt;Controls!$B$7)*$C$42:$BJ$42)</f>
        <v>0</v>
      </c>
    </row>
    <row r="43" spans="1:68" x14ac:dyDescent="0.35">
      <c r="A43" s="6" t="s">
        <v>272</v>
      </c>
      <c r="B43" s="20" t="s">
        <v>110</v>
      </c>
      <c r="C43" s="27">
        <f t="shared" ref="C43:AH43" si="20">IFERROR(C42/C8,0)</f>
        <v>-5.8178992854771137</v>
      </c>
      <c r="D43" s="27">
        <f t="shared" si="20"/>
        <v>-2.5664424670877284</v>
      </c>
      <c r="E43" s="27">
        <f t="shared" si="20"/>
        <v>-1.2247748738633528</v>
      </c>
      <c r="F43" s="27">
        <f t="shared" si="20"/>
        <v>-0.5319034236932183</v>
      </c>
      <c r="G43" s="27">
        <f t="shared" si="20"/>
        <v>-0.11834307491201086</v>
      </c>
      <c r="H43" s="27">
        <f t="shared" si="20"/>
        <v>0.14527109421782339</v>
      </c>
      <c r="I43" s="27">
        <f t="shared" si="20"/>
        <v>0.32527791659006022</v>
      </c>
      <c r="J43" s="27">
        <f t="shared" si="20"/>
        <v>0.45167508316050475</v>
      </c>
      <c r="K43" s="27">
        <f t="shared" si="20"/>
        <v>0.545451608565094</v>
      </c>
      <c r="L43" s="27">
        <f t="shared" si="20"/>
        <v>0.61749746862514421</v>
      </c>
      <c r="M43" s="27">
        <f t="shared" si="20"/>
        <v>0.67357032061993205</v>
      </c>
      <c r="N43" s="27">
        <f t="shared" si="20"/>
        <v>0.71854352549656952</v>
      </c>
      <c r="O43" s="27">
        <f t="shared" si="20"/>
        <v>0.69740364985392278</v>
      </c>
      <c r="P43" s="27">
        <f t="shared" si="20"/>
        <v>0.73479330788640029</v>
      </c>
      <c r="Q43" s="27">
        <f t="shared" si="20"/>
        <v>0.76590546720306563</v>
      </c>
      <c r="R43" s="27">
        <f t="shared" si="20"/>
        <v>0.79191233215175039</v>
      </c>
      <c r="S43" s="27">
        <f t="shared" si="20"/>
        <v>0.81412459527820369</v>
      </c>
      <c r="T43" s="27">
        <f t="shared" si="20"/>
        <v>0.83320005429111132</v>
      </c>
      <c r="U43" s="27">
        <f t="shared" si="20"/>
        <v>0.84942004534184867</v>
      </c>
      <c r="V43" s="27">
        <f t="shared" si="20"/>
        <v>0.86387306842455924</v>
      </c>
      <c r="W43" s="27">
        <f t="shared" si="20"/>
        <v>0.87632488655282226</v>
      </c>
      <c r="X43" s="27">
        <f t="shared" si="20"/>
        <v>0.88752162680475988</v>
      </c>
      <c r="Y43" s="27">
        <f t="shared" si="20"/>
        <v>0.89722947191015456</v>
      </c>
      <c r="Z43" s="27">
        <f t="shared" si="20"/>
        <v>0.90605506565407423</v>
      </c>
      <c r="AA43" s="27">
        <f t="shared" si="20"/>
        <v>0.8935315375347358</v>
      </c>
      <c r="AB43" s="27">
        <f t="shared" si="20"/>
        <v>0.90215319522329662</v>
      </c>
      <c r="AC43" s="27">
        <f t="shared" si="20"/>
        <v>0.91009529051647642</v>
      </c>
      <c r="AD43" s="27">
        <f t="shared" si="20"/>
        <v>0.91710684731546577</v>
      </c>
      <c r="AE43" s="27">
        <f t="shared" si="20"/>
        <v>0.92360169442608619</v>
      </c>
      <c r="AF43" s="27">
        <f t="shared" si="20"/>
        <v>0.92936372200404338</v>
      </c>
      <c r="AG43" s="27">
        <f t="shared" si="20"/>
        <v>0.93473684998919382</v>
      </c>
      <c r="AH43" s="27">
        <f t="shared" si="20"/>
        <v>0.93951860515600516</v>
      </c>
      <c r="AI43" s="27">
        <f t="shared" ref="AI43:BJ43" si="21">IFERROR(AI42/AI8,0)</f>
        <v>0.94400704125919721</v>
      </c>
      <c r="AJ43" s="27">
        <f t="shared" si="21"/>
        <v>0.94800690076275784</v>
      </c>
      <c r="AK43" s="27">
        <f t="shared" si="21"/>
        <v>0.95177848506211904</v>
      </c>
      <c r="AL43" s="27">
        <f t="shared" si="21"/>
        <v>0.95524357199377186</v>
      </c>
      <c r="AM43" s="27">
        <f t="shared" si="21"/>
        <v>0.99801140412185718</v>
      </c>
      <c r="AN43" s="27">
        <f t="shared" si="21"/>
        <v>0.99800679886767019</v>
      </c>
      <c r="AO43" s="27">
        <f t="shared" si="21"/>
        <v>0.99808527606813469</v>
      </c>
      <c r="AP43" s="27">
        <f t="shared" si="21"/>
        <v>0.99806377949541325</v>
      </c>
      <c r="AQ43" s="27">
        <f t="shared" si="21"/>
        <v>0.99812259463633679</v>
      </c>
      <c r="AR43" s="27">
        <f t="shared" si="21"/>
        <v>0.99809048591792715</v>
      </c>
      <c r="AS43" s="27">
        <f t="shared" si="21"/>
        <v>0.99813612179801359</v>
      </c>
      <c r="AT43" s="27">
        <f t="shared" si="21"/>
        <v>0.99809694783941616</v>
      </c>
      <c r="AU43" s="27">
        <f t="shared" si="21"/>
        <v>0.99813323501505102</v>
      </c>
      <c r="AV43" s="27">
        <f t="shared" si="21"/>
        <v>0.99808921325642264</v>
      </c>
      <c r="AW43" s="27">
        <f t="shared" si="21"/>
        <v>0.99811891291997368</v>
      </c>
      <c r="AX43" s="27">
        <f t="shared" si="21"/>
        <v>0.99814551076149527</v>
      </c>
      <c r="AY43" s="27">
        <f t="shared" si="21"/>
        <v>0.99816949059159843</v>
      </c>
      <c r="AZ43" s="27">
        <f t="shared" si="21"/>
        <v>0.99811920623230099</v>
      </c>
      <c r="BA43" s="27">
        <f t="shared" si="21"/>
        <v>0.99806858149816602</v>
      </c>
      <c r="BB43" s="27">
        <f t="shared" si="21"/>
        <v>0.99808805294431602</v>
      </c>
      <c r="BC43" s="27">
        <f t="shared" si="21"/>
        <v>0.99803623063342317</v>
      </c>
      <c r="BD43" s="27">
        <f t="shared" si="21"/>
        <v>0.99805340205008852</v>
      </c>
      <c r="BE43" s="27">
        <f t="shared" si="21"/>
        <v>0.99800084098236819</v>
      </c>
      <c r="BF43" s="27">
        <f t="shared" si="21"/>
        <v>0.99794836749745441</v>
      </c>
      <c r="BG43" s="27">
        <f t="shared" si="21"/>
        <v>0.99796344279627536</v>
      </c>
      <c r="BH43" s="27">
        <f t="shared" si="21"/>
        <v>0.99791073212482773</v>
      </c>
      <c r="BI43" s="27">
        <f t="shared" si="21"/>
        <v>0.99785823509011207</v>
      </c>
      <c r="BJ43" s="27">
        <f t="shared" si="21"/>
        <v>0.99787212777343526</v>
      </c>
      <c r="BK43" s="27">
        <f>IFERROR(SUMPRODUCT((YEAR(EDATE(Controls!$B$6,COLUMN($C$1:$BJ$1)-COLUMN($C$1)))=YEAR(Controls!$B$6)+0)*(COLUMN($C$1:$BJ$1)-COLUMN($C$1)&lt;Controls!$B$7)*$C$43:$BJ$43)/SUMPRODUCT((YEAR(EDATE(Controls!$B$6,COLUMN($C$1:$BJ$1)-COLUMN($C$1)))=YEAR(Controls!$B$6)+0)*(COLUMN($C$1:$BJ$1)-COLUMN($C$1)&lt;Controls!$B$7)*1),0)</f>
        <v>-0.565173008979858</v>
      </c>
      <c r="BL43" s="27">
        <f>IFERROR(SUMPRODUCT((YEAR(EDATE(Controls!$B$6,COLUMN($C$1:$BJ$1)-COLUMN($C$1)))=YEAR(Controls!$B$6)+1)*(COLUMN($C$1:$BJ$1)-COLUMN($C$1)&lt;Controls!$B$7)*$C$43:$BJ$43)/SUMPRODUCT((YEAR(EDATE(Controls!$B$6,COLUMN($C$1:$BJ$1)-COLUMN($C$1)))=YEAR(Controls!$B$6)+1)*(COLUMN($C$1:$BJ$1)-COLUMN($C$1)&lt;Controls!$B$7)*1),0)</f>
        <v>0.8264802976127229</v>
      </c>
      <c r="BM43" s="27">
        <f>IFERROR(SUMPRODUCT((YEAR(EDATE(Controls!$B$6,COLUMN($C$1:$BJ$1)-COLUMN($C$1)))=YEAR(Controls!$B$6)+2)*(COLUMN($C$1:$BJ$1)-COLUMN($C$1)&lt;Controls!$B$7)*$C$43:$BJ$43)/SUMPRODUCT((YEAR(EDATE(Controls!$B$6,COLUMN($C$1:$BJ$1)-COLUMN($C$1)))=YEAR(Controls!$B$6)+2)*(COLUMN($C$1:$BJ$1)-COLUMN($C$1)&lt;Controls!$B$7)*1),0)</f>
        <v>0.92909531177026261</v>
      </c>
      <c r="BN43" s="27">
        <f>IFERROR(SUMPRODUCT((YEAR(EDATE(Controls!$B$6,COLUMN($C$1:$BJ$1)-COLUMN($C$1)))=YEAR(Controls!$B$6)+3)*(COLUMN($C$1:$BJ$1)-COLUMN($C$1)&lt;Controls!$B$7)*$C$43:$BJ$43)/SUMPRODUCT((YEAR(EDATE(Controls!$B$6,COLUMN($C$1:$BJ$1)-COLUMN($C$1)))=YEAR(Controls!$B$6)+3)*(COLUMN($C$1:$BJ$1)-COLUMN($C$1)&lt;Controls!$B$7)*1),0)</f>
        <v>0</v>
      </c>
      <c r="BO43" s="27">
        <f>IFERROR(SUMPRODUCT((YEAR(EDATE(Controls!$B$6,COLUMN($C$1:$BJ$1)-COLUMN($C$1)))=YEAR(Controls!$B$6)+4)*(COLUMN($C$1:$BJ$1)-COLUMN($C$1)&lt;Controls!$B$7)*$C$43:$BJ$43)/SUMPRODUCT((YEAR(EDATE(Controls!$B$6,COLUMN($C$1:$BJ$1)-COLUMN($C$1)))=YEAR(Controls!$B$6)+4)*(COLUMN($C$1:$BJ$1)-COLUMN($C$1)&lt;Controls!$B$7)*1),0)</f>
        <v>0</v>
      </c>
      <c r="BP43" s="27">
        <f>IFERROR(SUMPRODUCT((YEAR(EDATE(Controls!$B$6,COLUMN($C$1:$BJ$1)-COLUMN($C$1)))=YEAR(Controls!$B$6)+5)*(COLUMN($C$1:$BJ$1)-COLUMN($C$1)&lt;Controls!$B$7)*$C$43:$BJ$43)/SUMPRODUCT((YEAR(EDATE(Controls!$B$6,COLUMN($C$1:$BJ$1)-COLUMN($C$1)))=YEAR(Controls!$B$6)+5)*(COLUMN($C$1:$BJ$1)-COLUMN($C$1)&lt;Controls!$B$7)*1),0)</f>
        <v>0</v>
      </c>
    </row>
    <row r="45" spans="1:68" x14ac:dyDescent="0.35">
      <c r="A45" s="25" t="s">
        <v>273</v>
      </c>
      <c r="B45" s="20" t="s">
        <v>124</v>
      </c>
      <c r="C45" s="29">
        <f>OpEx!C27</f>
        <v>0</v>
      </c>
      <c r="D45" s="29">
        <f>OpEx!D27</f>
        <v>0</v>
      </c>
      <c r="E45" s="29">
        <f>OpEx!E27</f>
        <v>0</v>
      </c>
      <c r="F45" s="29">
        <f>OpEx!F27</f>
        <v>0</v>
      </c>
      <c r="G45" s="29">
        <f>OpEx!G27</f>
        <v>0</v>
      </c>
      <c r="H45" s="29">
        <f>OpEx!H27</f>
        <v>0</v>
      </c>
      <c r="I45" s="29">
        <f>OpEx!I27</f>
        <v>138.88888888888889</v>
      </c>
      <c r="J45" s="29">
        <f>OpEx!J27</f>
        <v>0</v>
      </c>
      <c r="K45" s="29">
        <f>OpEx!K27</f>
        <v>0</v>
      </c>
      <c r="L45" s="29">
        <f>OpEx!L27</f>
        <v>0</v>
      </c>
      <c r="M45" s="29">
        <f>OpEx!M27</f>
        <v>0</v>
      </c>
      <c r="N45" s="29">
        <f>OpEx!N27</f>
        <v>0</v>
      </c>
      <c r="O45" s="29">
        <f>OpEx!O27</f>
        <v>0</v>
      </c>
      <c r="P45" s="29">
        <f>OpEx!P27</f>
        <v>0</v>
      </c>
      <c r="Q45" s="29">
        <f>OpEx!Q27</f>
        <v>0</v>
      </c>
      <c r="R45" s="29">
        <f>OpEx!R27</f>
        <v>0</v>
      </c>
      <c r="S45" s="29">
        <f>OpEx!S27</f>
        <v>0</v>
      </c>
      <c r="T45" s="29">
        <f>OpEx!T27</f>
        <v>0</v>
      </c>
      <c r="U45" s="29">
        <f>OpEx!U27</f>
        <v>0</v>
      </c>
      <c r="V45" s="29">
        <f>OpEx!V27</f>
        <v>0</v>
      </c>
      <c r="W45" s="29">
        <f>OpEx!W27</f>
        <v>0</v>
      </c>
      <c r="X45" s="29">
        <f>OpEx!X27</f>
        <v>0</v>
      </c>
      <c r="Y45" s="29">
        <f>OpEx!Y27</f>
        <v>0</v>
      </c>
      <c r="Z45" s="29">
        <f>OpEx!Z27</f>
        <v>0</v>
      </c>
      <c r="AA45" s="29">
        <f>OpEx!AA27</f>
        <v>0</v>
      </c>
      <c r="AB45" s="29">
        <f>OpEx!AB27</f>
        <v>0</v>
      </c>
      <c r="AC45" s="29">
        <f>OpEx!AC27</f>
        <v>0</v>
      </c>
      <c r="AD45" s="29">
        <f>OpEx!AD27</f>
        <v>0</v>
      </c>
      <c r="AE45" s="29">
        <f>OpEx!AE27</f>
        <v>0</v>
      </c>
      <c r="AF45" s="29">
        <f>OpEx!AF27</f>
        <v>0</v>
      </c>
      <c r="AG45" s="29">
        <f>OpEx!AG27</f>
        <v>0</v>
      </c>
      <c r="AH45" s="29">
        <f>OpEx!AH27</f>
        <v>0</v>
      </c>
      <c r="AI45" s="29">
        <f>OpEx!AI27</f>
        <v>0</v>
      </c>
      <c r="AJ45" s="29">
        <f>OpEx!AJ27</f>
        <v>0</v>
      </c>
      <c r="AK45" s="29">
        <f>OpEx!AK27</f>
        <v>0</v>
      </c>
      <c r="AL45" s="29">
        <f>OpEx!AL27</f>
        <v>0</v>
      </c>
      <c r="AM45" s="29">
        <f>OpEx!AM27</f>
        <v>0</v>
      </c>
      <c r="AN45" s="29">
        <f>OpEx!AN27</f>
        <v>0</v>
      </c>
      <c r="AO45" s="29">
        <f>OpEx!AO27</f>
        <v>0</v>
      </c>
      <c r="AP45" s="29">
        <f>OpEx!AP27</f>
        <v>0</v>
      </c>
      <c r="AQ45" s="29">
        <f>OpEx!AQ27</f>
        <v>0</v>
      </c>
      <c r="AR45" s="29">
        <f>OpEx!AR27</f>
        <v>0</v>
      </c>
      <c r="AS45" s="29">
        <f>OpEx!AS27</f>
        <v>0</v>
      </c>
      <c r="AT45" s="29">
        <f>OpEx!AT27</f>
        <v>0</v>
      </c>
      <c r="AU45" s="29">
        <f>OpEx!AU27</f>
        <v>0</v>
      </c>
      <c r="AV45" s="29">
        <f>OpEx!AV27</f>
        <v>0</v>
      </c>
      <c r="AW45" s="29">
        <f>OpEx!AW27</f>
        <v>0</v>
      </c>
      <c r="AX45" s="29">
        <f>OpEx!AX27</f>
        <v>0</v>
      </c>
      <c r="AY45" s="29">
        <f>OpEx!AY27</f>
        <v>0</v>
      </c>
      <c r="AZ45" s="29">
        <f>OpEx!AZ27</f>
        <v>0</v>
      </c>
      <c r="BA45" s="29">
        <f>OpEx!BA27</f>
        <v>0</v>
      </c>
      <c r="BB45" s="29">
        <f>OpEx!BB27</f>
        <v>0</v>
      </c>
      <c r="BC45" s="29">
        <f>OpEx!BC27</f>
        <v>0</v>
      </c>
      <c r="BD45" s="29">
        <f>OpEx!BD27</f>
        <v>0</v>
      </c>
      <c r="BE45" s="29">
        <f>OpEx!BE27</f>
        <v>0</v>
      </c>
      <c r="BF45" s="29">
        <f>OpEx!BF27</f>
        <v>0</v>
      </c>
      <c r="BG45" s="29">
        <f>OpEx!BG27</f>
        <v>0</v>
      </c>
      <c r="BH45" s="29">
        <f>OpEx!BH27</f>
        <v>0</v>
      </c>
      <c r="BI45" s="29">
        <f>OpEx!BI27</f>
        <v>0</v>
      </c>
      <c r="BJ45" s="29">
        <f>OpEx!BJ27</f>
        <v>0</v>
      </c>
      <c r="BK45" s="24">
        <f>SUMPRODUCT((YEAR(EDATE(Controls!$B$6,COLUMN($C$1:$BJ$1)-COLUMN($C$1)))=YEAR(Controls!$B$6)+0)*(COLUMN($C$1:$BJ$1)-COLUMN($C$1)&lt;Controls!$B$7)*$C$45:$BJ$45)</f>
        <v>138.88888888888889</v>
      </c>
      <c r="BL45" s="24">
        <f>SUMPRODUCT((YEAR(EDATE(Controls!$B$6,COLUMN($C$1:$BJ$1)-COLUMN($C$1)))=YEAR(Controls!$B$6)+1)*(COLUMN($C$1:$BJ$1)-COLUMN($C$1)&lt;Controls!$B$7)*$C$45:$BJ$45)</f>
        <v>0</v>
      </c>
      <c r="BM45" s="24">
        <f>SUMPRODUCT((YEAR(EDATE(Controls!$B$6,COLUMN($C$1:$BJ$1)-COLUMN($C$1)))=YEAR(Controls!$B$6)+2)*(COLUMN($C$1:$BJ$1)-COLUMN($C$1)&lt;Controls!$B$7)*$C$45:$BJ$45)</f>
        <v>0</v>
      </c>
      <c r="BN45" s="24">
        <f>SUMPRODUCT((YEAR(EDATE(Controls!$B$6,COLUMN($C$1:$BJ$1)-COLUMN($C$1)))=YEAR(Controls!$B$6)+3)*(COLUMN($C$1:$BJ$1)-COLUMN($C$1)&lt;Controls!$B$7)*$C$45:$BJ$45)</f>
        <v>0</v>
      </c>
      <c r="BO45" s="24">
        <f>SUMPRODUCT((YEAR(EDATE(Controls!$B$6,COLUMN($C$1:$BJ$1)-COLUMN($C$1)))=YEAR(Controls!$B$6)+4)*(COLUMN($C$1:$BJ$1)-COLUMN($C$1)&lt;Controls!$B$7)*$C$45:$BJ$45)</f>
        <v>0</v>
      </c>
      <c r="BP45" s="24">
        <f>SUMPRODUCT((YEAR(EDATE(Controls!$B$6,COLUMN($C$1:$BJ$1)-COLUMN($C$1)))=YEAR(Controls!$B$6)+5)*(COLUMN($C$1:$BJ$1)-COLUMN($C$1)&lt;Controls!$B$7)*$C$45:$BJ$45)</f>
        <v>0</v>
      </c>
    </row>
    <row r="46" spans="1:68" x14ac:dyDescent="0.35">
      <c r="A46" s="6" t="s">
        <v>274</v>
      </c>
      <c r="B46" s="20" t="s">
        <v>124</v>
      </c>
      <c r="C46" s="24">
        <f t="shared" ref="C46:AH46" si="22">C42-C45</f>
        <v>-79653.406000000003</v>
      </c>
      <c r="D46" s="24">
        <f t="shared" si="22"/>
        <v>-67297.431127999997</v>
      </c>
      <c r="E46" s="24">
        <f t="shared" si="22"/>
        <v>-51580.351237928546</v>
      </c>
      <c r="F46" s="24">
        <f t="shared" si="22"/>
        <v>-32593.117593534102</v>
      </c>
      <c r="G46" s="24">
        <f t="shared" si="22"/>
        <v>-9951.7898918793362</v>
      </c>
      <c r="H46" s="24">
        <f t="shared" si="22"/>
        <v>16013.697172357439</v>
      </c>
      <c r="I46" s="24">
        <f t="shared" si="22"/>
        <v>45367.916138723333</v>
      </c>
      <c r="J46" s="24">
        <f t="shared" si="22"/>
        <v>77900.320531030564</v>
      </c>
      <c r="K46" s="24">
        <f t="shared" si="22"/>
        <v>113692.05325874797</v>
      </c>
      <c r="L46" s="24">
        <f t="shared" si="22"/>
        <v>153234.41327953868</v>
      </c>
      <c r="M46" s="24">
        <f t="shared" si="22"/>
        <v>196222.45433024573</v>
      </c>
      <c r="N46" s="24">
        <f t="shared" si="22"/>
        <v>242771.23987247521</v>
      </c>
      <c r="O46" s="24">
        <f t="shared" si="22"/>
        <v>270866.91651972861</v>
      </c>
      <c r="P46" s="24">
        <f t="shared" si="22"/>
        <v>326593.53045525542</v>
      </c>
      <c r="Q46" s="24">
        <f t="shared" si="22"/>
        <v>385665.47512039013</v>
      </c>
      <c r="R46" s="24">
        <f t="shared" si="22"/>
        <v>449930.28714312275</v>
      </c>
      <c r="S46" s="24">
        <f t="shared" si="22"/>
        <v>517825.47666949267</v>
      </c>
      <c r="T46" s="24">
        <f t="shared" si="22"/>
        <v>590565.19760841469</v>
      </c>
      <c r="U46" s="24">
        <f t="shared" si="22"/>
        <v>668888.30783042638</v>
      </c>
      <c r="V46" s="24">
        <f t="shared" si="22"/>
        <v>752495.90455926105</v>
      </c>
      <c r="W46" s="24">
        <f t="shared" si="22"/>
        <v>842676.9224889183</v>
      </c>
      <c r="X46" s="24">
        <f t="shared" si="22"/>
        <v>938400.41422736587</v>
      </c>
      <c r="Y46" s="24">
        <f t="shared" si="22"/>
        <v>1041332.6015974665</v>
      </c>
      <c r="Z46" s="24">
        <f t="shared" si="22"/>
        <v>1150365.2345430423</v>
      </c>
      <c r="AA46" s="24">
        <f t="shared" si="22"/>
        <v>1238579.0907777655</v>
      </c>
      <c r="AB46" s="24">
        <f t="shared" si="22"/>
        <v>1363946.1307989147</v>
      </c>
      <c r="AC46" s="24">
        <f t="shared" si="22"/>
        <v>1497504.029678083</v>
      </c>
      <c r="AD46" s="24">
        <f t="shared" si="22"/>
        <v>1640556.3644839714</v>
      </c>
      <c r="AE46" s="24">
        <f t="shared" si="22"/>
        <v>1792630.8744403122</v>
      </c>
      <c r="AF46" s="24">
        <f t="shared" si="22"/>
        <v>1955562.359166844</v>
      </c>
      <c r="AG46" s="24">
        <f t="shared" si="22"/>
        <v>2128801.1354414872</v>
      </c>
      <c r="AH46" s="24">
        <f t="shared" si="22"/>
        <v>2314295.5599371791</v>
      </c>
      <c r="AI46" s="24">
        <f t="shared" ref="AI46:BJ46" si="23">AI42-AI45</f>
        <v>2511753.7116655111</v>
      </c>
      <c r="AJ46" s="24">
        <f t="shared" si="23"/>
        <v>2722827.3650726797</v>
      </c>
      <c r="AK46" s="24">
        <f t="shared" si="23"/>
        <v>2947469.6857884722</v>
      </c>
      <c r="AL46" s="24">
        <f t="shared" si="23"/>
        <v>3187227.1739510228</v>
      </c>
      <c r="AM46" s="24">
        <f t="shared" si="23"/>
        <v>3513071.6630960428</v>
      </c>
      <c r="AN46" s="24">
        <f t="shared" si="23"/>
        <v>3680185.5330592259</v>
      </c>
      <c r="AO46" s="24">
        <f t="shared" si="23"/>
        <v>3831323.4910863386</v>
      </c>
      <c r="AP46" s="24">
        <f t="shared" si="23"/>
        <v>3969119.7794411299</v>
      </c>
      <c r="AQ46" s="24">
        <f t="shared" si="23"/>
        <v>4093705.135530008</v>
      </c>
      <c r="AR46" s="24">
        <f t="shared" si="23"/>
        <v>4207682.1988750156</v>
      </c>
      <c r="AS46" s="24">
        <f t="shared" si="23"/>
        <v>4310901.7380593158</v>
      </c>
      <c r="AT46" s="24">
        <f t="shared" si="23"/>
        <v>4405562.0415988797</v>
      </c>
      <c r="AU46" s="24">
        <f t="shared" si="23"/>
        <v>4491362.995195399</v>
      </c>
      <c r="AV46" s="24">
        <f t="shared" si="23"/>
        <v>4570515.5980114425</v>
      </c>
      <c r="AW46" s="24">
        <f t="shared" si="23"/>
        <v>4642815.6254881136</v>
      </c>
      <c r="AX46" s="24">
        <f t="shared" si="23"/>
        <v>4709530.2781079113</v>
      </c>
      <c r="AY46" s="24">
        <f t="shared" si="23"/>
        <v>4771340.1540519875</v>
      </c>
      <c r="AZ46" s="24">
        <f t="shared" si="23"/>
        <v>4829282.6851642868</v>
      </c>
      <c r="BA46" s="24">
        <f t="shared" si="23"/>
        <v>4883326.9880150519</v>
      </c>
      <c r="BB46" s="24">
        <f t="shared" si="23"/>
        <v>4933155.4826709302</v>
      </c>
      <c r="BC46" s="24">
        <f t="shared" si="23"/>
        <v>4980602.7258979427</v>
      </c>
      <c r="BD46" s="24">
        <f t="shared" si="23"/>
        <v>5024624.2890248159</v>
      </c>
      <c r="BE46" s="24">
        <f t="shared" si="23"/>
        <v>5066984.8904617941</v>
      </c>
      <c r="BF46" s="24">
        <f t="shared" si="23"/>
        <v>5107375.6365829669</v>
      </c>
      <c r="BG46" s="24">
        <f t="shared" si="23"/>
        <v>5145259.9171760976</v>
      </c>
      <c r="BH46" s="24">
        <f t="shared" si="23"/>
        <v>5182356.7347302185</v>
      </c>
      <c r="BI46" s="24">
        <f t="shared" si="23"/>
        <v>5218132.102833746</v>
      </c>
      <c r="BJ46" s="24">
        <f t="shared" si="23"/>
        <v>5252273.9342789939</v>
      </c>
      <c r="BK46" s="24">
        <f>SUMPRODUCT((YEAR(EDATE(Controls!$B$6,COLUMN($C$1:$BJ$1)-COLUMN($C$1)))=YEAR(Controls!$B$6)+0)*(COLUMN($C$1:$BJ$1)-COLUMN($C$1)&lt;Controls!$B$7)*$C$46:$BJ$46)</f>
        <v>604125.99873177684</v>
      </c>
      <c r="BL46" s="24">
        <f>SUMPRODUCT((YEAR(EDATE(Controls!$B$6,COLUMN($C$1:$BJ$1)-COLUMN($C$1)))=YEAR(Controls!$B$6)+1)*(COLUMN($C$1:$BJ$1)-COLUMN($C$1)&lt;Controls!$B$7)*$C$46:$BJ$46)</f>
        <v>7935606.2687628847</v>
      </c>
      <c r="BM46" s="24">
        <f>SUMPRODUCT((YEAR(EDATE(Controls!$B$6,COLUMN($C$1:$BJ$1)-COLUMN($C$1)))=YEAR(Controls!$B$6)+2)*(COLUMN($C$1:$BJ$1)-COLUMN($C$1)&lt;Controls!$B$7)*$C$46:$BJ$46)</f>
        <v>25301153.481202241</v>
      </c>
      <c r="BN46" s="24">
        <f>SUMPRODUCT((YEAR(EDATE(Controls!$B$6,COLUMN($C$1:$BJ$1)-COLUMN($C$1)))=YEAR(Controls!$B$6)+3)*(COLUMN($C$1:$BJ$1)-COLUMN($C$1)&lt;Controls!$B$7)*$C$46:$BJ$46)</f>
        <v>0</v>
      </c>
      <c r="BO46" s="24">
        <f>SUMPRODUCT((YEAR(EDATE(Controls!$B$6,COLUMN($C$1:$BJ$1)-COLUMN($C$1)))=YEAR(Controls!$B$6)+4)*(COLUMN($C$1:$BJ$1)-COLUMN($C$1)&lt;Controls!$B$7)*$C$46:$BJ$46)</f>
        <v>0</v>
      </c>
      <c r="BP46" s="24">
        <f>SUMPRODUCT((YEAR(EDATE(Controls!$B$6,COLUMN($C$1:$BJ$1)-COLUMN($C$1)))=YEAR(Controls!$B$6)+5)*(COLUMN($C$1:$BJ$1)-COLUMN($C$1)&lt;Controls!$B$7)*$C$46:$BJ$46)</f>
        <v>0</v>
      </c>
    </row>
    <row r="47" spans="1:68" x14ac:dyDescent="0.35">
      <c r="A47" s="25" t="s">
        <v>275</v>
      </c>
      <c r="B47" s="20" t="s">
        <v>124</v>
      </c>
      <c r="C47" s="24">
        <f>IFERROR(Controls!$B$20*Controls!$B$21/12,0)</f>
        <v>0</v>
      </c>
      <c r="D47" s="24">
        <f>IFERROR(Controls!$B$20*Controls!$B$21/12,0)</f>
        <v>0</v>
      </c>
      <c r="E47" s="24">
        <f>IFERROR(Controls!$B$20*Controls!$B$21/12,0)</f>
        <v>0</v>
      </c>
      <c r="F47" s="24">
        <f>IFERROR(Controls!$B$20*Controls!$B$21/12,0)</f>
        <v>0</v>
      </c>
      <c r="G47" s="24">
        <f>IFERROR(Controls!$B$20*Controls!$B$21/12,0)</f>
        <v>0</v>
      </c>
      <c r="H47" s="24">
        <f>IFERROR(Controls!$B$20*Controls!$B$21/12,0)</f>
        <v>0</v>
      </c>
      <c r="I47" s="24">
        <f>IFERROR(Controls!$B$20*Controls!$B$21/12,0)</f>
        <v>0</v>
      </c>
      <c r="J47" s="24">
        <f>IFERROR(Controls!$B$20*Controls!$B$21/12,0)</f>
        <v>0</v>
      </c>
      <c r="K47" s="24">
        <f>IFERROR(Controls!$B$20*Controls!$B$21/12,0)</f>
        <v>0</v>
      </c>
      <c r="L47" s="24">
        <f>IFERROR(Controls!$B$20*Controls!$B$21/12,0)</f>
        <v>0</v>
      </c>
      <c r="M47" s="24">
        <f>IFERROR(Controls!$B$20*Controls!$B$21/12,0)</f>
        <v>0</v>
      </c>
      <c r="N47" s="24">
        <f>IFERROR(Controls!$B$20*Controls!$B$21/12,0)</f>
        <v>0</v>
      </c>
      <c r="O47" s="24">
        <f>IFERROR(Controls!$B$20*Controls!$B$21/12,0)</f>
        <v>0</v>
      </c>
      <c r="P47" s="24">
        <f>IFERROR(Controls!$B$20*Controls!$B$21/12,0)</f>
        <v>0</v>
      </c>
      <c r="Q47" s="24">
        <f>IFERROR(Controls!$B$20*Controls!$B$21/12,0)</f>
        <v>0</v>
      </c>
      <c r="R47" s="24">
        <f>IFERROR(Controls!$B$20*Controls!$B$21/12,0)</f>
        <v>0</v>
      </c>
      <c r="S47" s="24">
        <f>IFERROR(Controls!$B$20*Controls!$B$21/12,0)</f>
        <v>0</v>
      </c>
      <c r="T47" s="24">
        <f>IFERROR(Controls!$B$20*Controls!$B$21/12,0)</f>
        <v>0</v>
      </c>
      <c r="U47" s="24">
        <f>IFERROR(Controls!$B$20*Controls!$B$21/12,0)</f>
        <v>0</v>
      </c>
      <c r="V47" s="24">
        <f>IFERROR(Controls!$B$20*Controls!$B$21/12,0)</f>
        <v>0</v>
      </c>
      <c r="W47" s="24">
        <f>IFERROR(Controls!$B$20*Controls!$B$21/12,0)</f>
        <v>0</v>
      </c>
      <c r="X47" s="24">
        <f>IFERROR(Controls!$B$20*Controls!$B$21/12,0)</f>
        <v>0</v>
      </c>
      <c r="Y47" s="24">
        <f>IFERROR(Controls!$B$20*Controls!$B$21/12,0)</f>
        <v>0</v>
      </c>
      <c r="Z47" s="24">
        <f>IFERROR(Controls!$B$20*Controls!$B$21/12,0)</f>
        <v>0</v>
      </c>
      <c r="AA47" s="24">
        <f>IFERROR(Controls!$B$20*Controls!$B$21/12,0)</f>
        <v>0</v>
      </c>
      <c r="AB47" s="24">
        <f>IFERROR(Controls!$B$20*Controls!$B$21/12,0)</f>
        <v>0</v>
      </c>
      <c r="AC47" s="24">
        <f>IFERROR(Controls!$B$20*Controls!$B$21/12,0)</f>
        <v>0</v>
      </c>
      <c r="AD47" s="24">
        <f>IFERROR(Controls!$B$20*Controls!$B$21/12,0)</f>
        <v>0</v>
      </c>
      <c r="AE47" s="24">
        <f>IFERROR(Controls!$B$20*Controls!$B$21/12,0)</f>
        <v>0</v>
      </c>
      <c r="AF47" s="24">
        <f>IFERROR(Controls!$B$20*Controls!$B$21/12,0)</f>
        <v>0</v>
      </c>
      <c r="AG47" s="24">
        <f>IFERROR(Controls!$B$20*Controls!$B$21/12,0)</f>
        <v>0</v>
      </c>
      <c r="AH47" s="24">
        <f>IFERROR(Controls!$B$20*Controls!$B$21/12,0)</f>
        <v>0</v>
      </c>
      <c r="AI47" s="24">
        <f>IFERROR(Controls!$B$20*Controls!$B$21/12,0)</f>
        <v>0</v>
      </c>
      <c r="AJ47" s="24">
        <f>IFERROR(Controls!$B$20*Controls!$B$21/12,0)</f>
        <v>0</v>
      </c>
      <c r="AK47" s="24">
        <f>IFERROR(Controls!$B$20*Controls!$B$21/12,0)</f>
        <v>0</v>
      </c>
      <c r="AL47" s="24">
        <f>IFERROR(Controls!$B$20*Controls!$B$21/12,0)</f>
        <v>0</v>
      </c>
      <c r="AM47" s="24">
        <f>IFERROR(Controls!$B$20*Controls!$B$21/12,0)</f>
        <v>0</v>
      </c>
      <c r="AN47" s="24">
        <f>IFERROR(Controls!$B$20*Controls!$B$21/12,0)</f>
        <v>0</v>
      </c>
      <c r="AO47" s="24">
        <f>IFERROR(Controls!$B$20*Controls!$B$21/12,0)</f>
        <v>0</v>
      </c>
      <c r="AP47" s="24">
        <f>IFERROR(Controls!$B$20*Controls!$B$21/12,0)</f>
        <v>0</v>
      </c>
      <c r="AQ47" s="24">
        <f>IFERROR(Controls!$B$20*Controls!$B$21/12,0)</f>
        <v>0</v>
      </c>
      <c r="AR47" s="24">
        <f>IFERROR(Controls!$B$20*Controls!$B$21/12,0)</f>
        <v>0</v>
      </c>
      <c r="AS47" s="24">
        <f>IFERROR(Controls!$B$20*Controls!$B$21/12,0)</f>
        <v>0</v>
      </c>
      <c r="AT47" s="24">
        <f>IFERROR(Controls!$B$20*Controls!$B$21/12,0)</f>
        <v>0</v>
      </c>
      <c r="AU47" s="24">
        <f>IFERROR(Controls!$B$20*Controls!$B$21/12,0)</f>
        <v>0</v>
      </c>
      <c r="AV47" s="24">
        <f>IFERROR(Controls!$B$20*Controls!$B$21/12,0)</f>
        <v>0</v>
      </c>
      <c r="AW47" s="24">
        <f>IFERROR(Controls!$B$20*Controls!$B$21/12,0)</f>
        <v>0</v>
      </c>
      <c r="AX47" s="24">
        <f>IFERROR(Controls!$B$20*Controls!$B$21/12,0)</f>
        <v>0</v>
      </c>
      <c r="AY47" s="24">
        <f>IFERROR(Controls!$B$20*Controls!$B$21/12,0)</f>
        <v>0</v>
      </c>
      <c r="AZ47" s="24">
        <f>IFERROR(Controls!$B$20*Controls!$B$21/12,0)</f>
        <v>0</v>
      </c>
      <c r="BA47" s="24">
        <f>IFERROR(Controls!$B$20*Controls!$B$21/12,0)</f>
        <v>0</v>
      </c>
      <c r="BB47" s="24">
        <f>IFERROR(Controls!$B$20*Controls!$B$21/12,0)</f>
        <v>0</v>
      </c>
      <c r="BC47" s="24">
        <f>IFERROR(Controls!$B$20*Controls!$B$21/12,0)</f>
        <v>0</v>
      </c>
      <c r="BD47" s="24">
        <f>IFERROR(Controls!$B$20*Controls!$B$21/12,0)</f>
        <v>0</v>
      </c>
      <c r="BE47" s="24">
        <f>IFERROR(Controls!$B$20*Controls!$B$21/12,0)</f>
        <v>0</v>
      </c>
      <c r="BF47" s="24">
        <f>IFERROR(Controls!$B$20*Controls!$B$21/12,0)</f>
        <v>0</v>
      </c>
      <c r="BG47" s="24">
        <f>IFERROR(Controls!$B$20*Controls!$B$21/12,0)</f>
        <v>0</v>
      </c>
      <c r="BH47" s="24">
        <f>IFERROR(Controls!$B$20*Controls!$B$21/12,0)</f>
        <v>0</v>
      </c>
      <c r="BI47" s="24">
        <f>IFERROR(Controls!$B$20*Controls!$B$21/12,0)</f>
        <v>0</v>
      </c>
      <c r="BJ47" s="24">
        <f>IFERROR(Controls!$B$20*Controls!$B$21/12,0)</f>
        <v>0</v>
      </c>
      <c r="BK47" s="24">
        <f>SUMPRODUCT((YEAR(EDATE(Controls!$B$6,COLUMN($C$1:$BJ$1)-COLUMN($C$1)))=YEAR(Controls!$B$6)+0)*(COLUMN($C$1:$BJ$1)-COLUMN($C$1)&lt;Controls!$B$7)*$C$47:$BJ$47)</f>
        <v>0</v>
      </c>
      <c r="BL47" s="24">
        <f>SUMPRODUCT((YEAR(EDATE(Controls!$B$6,COLUMN($C$1:$BJ$1)-COLUMN($C$1)))=YEAR(Controls!$B$6)+1)*(COLUMN($C$1:$BJ$1)-COLUMN($C$1)&lt;Controls!$B$7)*$C$47:$BJ$47)</f>
        <v>0</v>
      </c>
      <c r="BM47" s="24">
        <f>SUMPRODUCT((YEAR(EDATE(Controls!$B$6,COLUMN($C$1:$BJ$1)-COLUMN($C$1)))=YEAR(Controls!$B$6)+2)*(COLUMN($C$1:$BJ$1)-COLUMN($C$1)&lt;Controls!$B$7)*$C$47:$BJ$47)</f>
        <v>0</v>
      </c>
      <c r="BN47" s="24">
        <f>SUMPRODUCT((YEAR(EDATE(Controls!$B$6,COLUMN($C$1:$BJ$1)-COLUMN($C$1)))=YEAR(Controls!$B$6)+3)*(COLUMN($C$1:$BJ$1)-COLUMN($C$1)&lt;Controls!$B$7)*$C$47:$BJ$47)</f>
        <v>0</v>
      </c>
      <c r="BO47" s="24">
        <f>SUMPRODUCT((YEAR(EDATE(Controls!$B$6,COLUMN($C$1:$BJ$1)-COLUMN($C$1)))=YEAR(Controls!$B$6)+4)*(COLUMN($C$1:$BJ$1)-COLUMN($C$1)&lt;Controls!$B$7)*$C$47:$BJ$47)</f>
        <v>0</v>
      </c>
      <c r="BP47" s="24">
        <f>SUMPRODUCT((YEAR(EDATE(Controls!$B$6,COLUMN($C$1:$BJ$1)-COLUMN($C$1)))=YEAR(Controls!$B$6)+5)*(COLUMN($C$1:$BJ$1)-COLUMN($C$1)&lt;Controls!$B$7)*$C$47:$BJ$47)</f>
        <v>0</v>
      </c>
    </row>
    <row r="48" spans="1:68" x14ac:dyDescent="0.35">
      <c r="A48" s="6" t="s">
        <v>276</v>
      </c>
      <c r="B48" s="20" t="s">
        <v>124</v>
      </c>
      <c r="C48" s="24">
        <f t="shared" ref="C48:AH48" si="24">C46-C47</f>
        <v>-79653.406000000003</v>
      </c>
      <c r="D48" s="24">
        <f t="shared" si="24"/>
        <v>-67297.431127999997</v>
      </c>
      <c r="E48" s="24">
        <f t="shared" si="24"/>
        <v>-51580.351237928546</v>
      </c>
      <c r="F48" s="24">
        <f t="shared" si="24"/>
        <v>-32593.117593534102</v>
      </c>
      <c r="G48" s="24">
        <f t="shared" si="24"/>
        <v>-9951.7898918793362</v>
      </c>
      <c r="H48" s="24">
        <f t="shared" si="24"/>
        <v>16013.697172357439</v>
      </c>
      <c r="I48" s="24">
        <f t="shared" si="24"/>
        <v>45367.916138723333</v>
      </c>
      <c r="J48" s="24">
        <f t="shared" si="24"/>
        <v>77900.320531030564</v>
      </c>
      <c r="K48" s="24">
        <f t="shared" si="24"/>
        <v>113692.05325874797</v>
      </c>
      <c r="L48" s="24">
        <f t="shared" si="24"/>
        <v>153234.41327953868</v>
      </c>
      <c r="M48" s="24">
        <f t="shared" si="24"/>
        <v>196222.45433024573</v>
      </c>
      <c r="N48" s="24">
        <f t="shared" si="24"/>
        <v>242771.23987247521</v>
      </c>
      <c r="O48" s="24">
        <f t="shared" si="24"/>
        <v>270866.91651972861</v>
      </c>
      <c r="P48" s="24">
        <f t="shared" si="24"/>
        <v>326593.53045525542</v>
      </c>
      <c r="Q48" s="24">
        <f t="shared" si="24"/>
        <v>385665.47512039013</v>
      </c>
      <c r="R48" s="24">
        <f t="shared" si="24"/>
        <v>449930.28714312275</v>
      </c>
      <c r="S48" s="24">
        <f t="shared" si="24"/>
        <v>517825.47666949267</v>
      </c>
      <c r="T48" s="24">
        <f t="shared" si="24"/>
        <v>590565.19760841469</v>
      </c>
      <c r="U48" s="24">
        <f t="shared" si="24"/>
        <v>668888.30783042638</v>
      </c>
      <c r="V48" s="24">
        <f t="shared" si="24"/>
        <v>752495.90455926105</v>
      </c>
      <c r="W48" s="24">
        <f t="shared" si="24"/>
        <v>842676.9224889183</v>
      </c>
      <c r="X48" s="24">
        <f t="shared" si="24"/>
        <v>938400.41422736587</v>
      </c>
      <c r="Y48" s="24">
        <f t="shared" si="24"/>
        <v>1041332.6015974665</v>
      </c>
      <c r="Z48" s="24">
        <f t="shared" si="24"/>
        <v>1150365.2345430423</v>
      </c>
      <c r="AA48" s="24">
        <f t="shared" si="24"/>
        <v>1238579.0907777655</v>
      </c>
      <c r="AB48" s="24">
        <f t="shared" si="24"/>
        <v>1363946.1307989147</v>
      </c>
      <c r="AC48" s="24">
        <f t="shared" si="24"/>
        <v>1497504.029678083</v>
      </c>
      <c r="AD48" s="24">
        <f t="shared" si="24"/>
        <v>1640556.3644839714</v>
      </c>
      <c r="AE48" s="24">
        <f t="shared" si="24"/>
        <v>1792630.8744403122</v>
      </c>
      <c r="AF48" s="24">
        <f t="shared" si="24"/>
        <v>1955562.359166844</v>
      </c>
      <c r="AG48" s="24">
        <f t="shared" si="24"/>
        <v>2128801.1354414872</v>
      </c>
      <c r="AH48" s="24">
        <f t="shared" si="24"/>
        <v>2314295.5599371791</v>
      </c>
      <c r="AI48" s="24">
        <f t="shared" ref="AI48:BJ48" si="25">AI46-AI47</f>
        <v>2511753.7116655111</v>
      </c>
      <c r="AJ48" s="24">
        <f t="shared" si="25"/>
        <v>2722827.3650726797</v>
      </c>
      <c r="AK48" s="24">
        <f t="shared" si="25"/>
        <v>2947469.6857884722</v>
      </c>
      <c r="AL48" s="24">
        <f t="shared" si="25"/>
        <v>3187227.1739510228</v>
      </c>
      <c r="AM48" s="24">
        <f t="shared" si="25"/>
        <v>3513071.6630960428</v>
      </c>
      <c r="AN48" s="24">
        <f t="shared" si="25"/>
        <v>3680185.5330592259</v>
      </c>
      <c r="AO48" s="24">
        <f t="shared" si="25"/>
        <v>3831323.4910863386</v>
      </c>
      <c r="AP48" s="24">
        <f t="shared" si="25"/>
        <v>3969119.7794411299</v>
      </c>
      <c r="AQ48" s="24">
        <f t="shared" si="25"/>
        <v>4093705.135530008</v>
      </c>
      <c r="AR48" s="24">
        <f t="shared" si="25"/>
        <v>4207682.1988750156</v>
      </c>
      <c r="AS48" s="24">
        <f t="shared" si="25"/>
        <v>4310901.7380593158</v>
      </c>
      <c r="AT48" s="24">
        <f t="shared" si="25"/>
        <v>4405562.0415988797</v>
      </c>
      <c r="AU48" s="24">
        <f t="shared" si="25"/>
        <v>4491362.995195399</v>
      </c>
      <c r="AV48" s="24">
        <f t="shared" si="25"/>
        <v>4570515.5980114425</v>
      </c>
      <c r="AW48" s="24">
        <f t="shared" si="25"/>
        <v>4642815.6254881136</v>
      </c>
      <c r="AX48" s="24">
        <f t="shared" si="25"/>
        <v>4709530.2781079113</v>
      </c>
      <c r="AY48" s="24">
        <f t="shared" si="25"/>
        <v>4771340.1540519875</v>
      </c>
      <c r="AZ48" s="24">
        <f t="shared" si="25"/>
        <v>4829282.6851642868</v>
      </c>
      <c r="BA48" s="24">
        <f t="shared" si="25"/>
        <v>4883326.9880150519</v>
      </c>
      <c r="BB48" s="24">
        <f t="shared" si="25"/>
        <v>4933155.4826709302</v>
      </c>
      <c r="BC48" s="24">
        <f t="shared" si="25"/>
        <v>4980602.7258979427</v>
      </c>
      <c r="BD48" s="24">
        <f t="shared" si="25"/>
        <v>5024624.2890248159</v>
      </c>
      <c r="BE48" s="24">
        <f t="shared" si="25"/>
        <v>5066984.8904617941</v>
      </c>
      <c r="BF48" s="24">
        <f t="shared" si="25"/>
        <v>5107375.6365829669</v>
      </c>
      <c r="BG48" s="24">
        <f t="shared" si="25"/>
        <v>5145259.9171760976</v>
      </c>
      <c r="BH48" s="24">
        <f t="shared" si="25"/>
        <v>5182356.7347302185</v>
      </c>
      <c r="BI48" s="24">
        <f t="shared" si="25"/>
        <v>5218132.102833746</v>
      </c>
      <c r="BJ48" s="24">
        <f t="shared" si="25"/>
        <v>5252273.9342789939</v>
      </c>
      <c r="BK48" s="24">
        <f>SUMPRODUCT((YEAR(EDATE(Controls!$B$6,COLUMN($C$1:$BJ$1)-COLUMN($C$1)))=YEAR(Controls!$B$6)+0)*(COLUMN($C$1:$BJ$1)-COLUMN($C$1)&lt;Controls!$B$7)*$C$48:$BJ$48)</f>
        <v>604125.99873177684</v>
      </c>
      <c r="BL48" s="24">
        <f>SUMPRODUCT((YEAR(EDATE(Controls!$B$6,COLUMN($C$1:$BJ$1)-COLUMN($C$1)))=YEAR(Controls!$B$6)+1)*(COLUMN($C$1:$BJ$1)-COLUMN($C$1)&lt;Controls!$B$7)*$C$48:$BJ$48)</f>
        <v>7935606.2687628847</v>
      </c>
      <c r="BM48" s="24">
        <f>SUMPRODUCT((YEAR(EDATE(Controls!$B$6,COLUMN($C$1:$BJ$1)-COLUMN($C$1)))=YEAR(Controls!$B$6)+2)*(COLUMN($C$1:$BJ$1)-COLUMN($C$1)&lt;Controls!$B$7)*$C$48:$BJ$48)</f>
        <v>25301153.481202241</v>
      </c>
      <c r="BN48" s="24">
        <f>SUMPRODUCT((YEAR(EDATE(Controls!$B$6,COLUMN($C$1:$BJ$1)-COLUMN($C$1)))=YEAR(Controls!$B$6)+3)*(COLUMN($C$1:$BJ$1)-COLUMN($C$1)&lt;Controls!$B$7)*$C$48:$BJ$48)</f>
        <v>0</v>
      </c>
      <c r="BO48" s="24">
        <f>SUMPRODUCT((YEAR(EDATE(Controls!$B$6,COLUMN($C$1:$BJ$1)-COLUMN($C$1)))=YEAR(Controls!$B$6)+4)*(COLUMN($C$1:$BJ$1)-COLUMN($C$1)&lt;Controls!$B$7)*$C$48:$BJ$48)</f>
        <v>0</v>
      </c>
      <c r="BP48" s="24">
        <f>SUMPRODUCT((YEAR(EDATE(Controls!$B$6,COLUMN($C$1:$BJ$1)-COLUMN($C$1)))=YEAR(Controls!$B$6)+5)*(COLUMN($C$1:$BJ$1)-COLUMN($C$1)&lt;Controls!$B$7)*$C$48:$BJ$48)</f>
        <v>0</v>
      </c>
    </row>
    <row r="49" spans="1:68" x14ac:dyDescent="0.35">
      <c r="A49" s="25" t="s">
        <v>277</v>
      </c>
      <c r="B49" s="20" t="s">
        <v>124</v>
      </c>
      <c r="C49" s="24">
        <f>MAX(0,C48*Controls!$B$8)</f>
        <v>0</v>
      </c>
      <c r="D49" s="24">
        <f>MAX(0,D48*Controls!$B$8)</f>
        <v>0</v>
      </c>
      <c r="E49" s="24">
        <f>MAX(0,E48*Controls!$B$8)</f>
        <v>0</v>
      </c>
      <c r="F49" s="24">
        <f>MAX(0,F48*Controls!$B$8)</f>
        <v>0</v>
      </c>
      <c r="G49" s="24">
        <f>MAX(0,G48*Controls!$B$8)</f>
        <v>0</v>
      </c>
      <c r="H49" s="24">
        <f>MAX(0,H48*Controls!$B$8)</f>
        <v>4003.4242930893597</v>
      </c>
      <c r="I49" s="24">
        <f>MAX(0,I48*Controls!$B$8)</f>
        <v>11341.979034680833</v>
      </c>
      <c r="J49" s="24">
        <f>MAX(0,J48*Controls!$B$8)</f>
        <v>19475.080132757641</v>
      </c>
      <c r="K49" s="24">
        <f>MAX(0,K48*Controls!$B$8)</f>
        <v>28423.013314686992</v>
      </c>
      <c r="L49" s="24">
        <f>MAX(0,L48*Controls!$B$8)</f>
        <v>38308.603319884671</v>
      </c>
      <c r="M49" s="24">
        <f>MAX(0,M48*Controls!$B$8)</f>
        <v>49055.613582561433</v>
      </c>
      <c r="N49" s="24">
        <f>MAX(0,N48*Controls!$B$8)</f>
        <v>60692.809968118803</v>
      </c>
      <c r="O49" s="24">
        <f>MAX(0,O48*Controls!$B$8)</f>
        <v>67716.729129932151</v>
      </c>
      <c r="P49" s="24">
        <f>MAX(0,P48*Controls!$B$8)</f>
        <v>81648.382613813854</v>
      </c>
      <c r="Q49" s="24">
        <f>MAX(0,Q48*Controls!$B$8)</f>
        <v>96416.368780097531</v>
      </c>
      <c r="R49" s="24">
        <f>MAX(0,R48*Controls!$B$8)</f>
        <v>112482.57178578069</v>
      </c>
      <c r="S49" s="24">
        <f>MAX(0,S48*Controls!$B$8)</f>
        <v>129456.36916737317</v>
      </c>
      <c r="T49" s="24">
        <f>MAX(0,T48*Controls!$B$8)</f>
        <v>147641.29940210367</v>
      </c>
      <c r="U49" s="24">
        <f>MAX(0,U48*Controls!$B$8)</f>
        <v>167222.07695760659</v>
      </c>
      <c r="V49" s="24">
        <f>MAX(0,V48*Controls!$B$8)</f>
        <v>188123.97613981526</v>
      </c>
      <c r="W49" s="24">
        <f>MAX(0,W48*Controls!$B$8)</f>
        <v>210669.23062222957</v>
      </c>
      <c r="X49" s="24">
        <f>MAX(0,X48*Controls!$B$8)</f>
        <v>234600.10355684147</v>
      </c>
      <c r="Y49" s="24">
        <f>MAX(0,Y48*Controls!$B$8)</f>
        <v>260333.15039936663</v>
      </c>
      <c r="Z49" s="24">
        <f>MAX(0,Z48*Controls!$B$8)</f>
        <v>287591.30863576056</v>
      </c>
      <c r="AA49" s="24">
        <f>MAX(0,AA48*Controls!$B$8)</f>
        <v>309644.77269444137</v>
      </c>
      <c r="AB49" s="24">
        <f>MAX(0,AB48*Controls!$B$8)</f>
        <v>340986.53269972868</v>
      </c>
      <c r="AC49" s="24">
        <f>MAX(0,AC48*Controls!$B$8)</f>
        <v>374376.00741952076</v>
      </c>
      <c r="AD49" s="24">
        <f>MAX(0,AD48*Controls!$B$8)</f>
        <v>410139.09112099285</v>
      </c>
      <c r="AE49" s="24">
        <f>MAX(0,AE48*Controls!$B$8)</f>
        <v>448157.71861007804</v>
      </c>
      <c r="AF49" s="24">
        <f>MAX(0,AF48*Controls!$B$8)</f>
        <v>488890.58979171101</v>
      </c>
      <c r="AG49" s="24">
        <f>MAX(0,AG48*Controls!$B$8)</f>
        <v>532200.2838603718</v>
      </c>
      <c r="AH49" s="24">
        <f>MAX(0,AH48*Controls!$B$8)</f>
        <v>578573.88998429477</v>
      </c>
      <c r="AI49" s="24">
        <f>MAX(0,AI48*Controls!$B$8)</f>
        <v>627938.42791637778</v>
      </c>
      <c r="AJ49" s="24">
        <f>MAX(0,AJ48*Controls!$B$8)</f>
        <v>680706.84126816993</v>
      </c>
      <c r="AK49" s="24">
        <f>MAX(0,AK48*Controls!$B$8)</f>
        <v>736867.42144711805</v>
      </c>
      <c r="AL49" s="24">
        <f>MAX(0,AL48*Controls!$B$8)</f>
        <v>796806.7934877557</v>
      </c>
      <c r="AM49" s="24">
        <f>MAX(0,AM48*Controls!$B$8)</f>
        <v>878267.9157740107</v>
      </c>
      <c r="AN49" s="24">
        <f>MAX(0,AN48*Controls!$B$8)</f>
        <v>920046.38326480647</v>
      </c>
      <c r="AO49" s="24">
        <f>MAX(0,AO48*Controls!$B$8)</f>
        <v>957830.87277158466</v>
      </c>
      <c r="AP49" s="24">
        <f>MAX(0,AP48*Controls!$B$8)</f>
        <v>992279.94486028247</v>
      </c>
      <c r="AQ49" s="24">
        <f>MAX(0,AQ48*Controls!$B$8)</f>
        <v>1023426.283882502</v>
      </c>
      <c r="AR49" s="24">
        <f>MAX(0,AR48*Controls!$B$8)</f>
        <v>1051920.5497187539</v>
      </c>
      <c r="AS49" s="24">
        <f>MAX(0,AS48*Controls!$B$8)</f>
        <v>1077725.434514829</v>
      </c>
      <c r="AT49" s="24">
        <f>MAX(0,AT48*Controls!$B$8)</f>
        <v>1101390.5103997199</v>
      </c>
      <c r="AU49" s="24">
        <f>MAX(0,AU48*Controls!$B$8)</f>
        <v>1122840.7487988498</v>
      </c>
      <c r="AV49" s="24">
        <f>MAX(0,AV48*Controls!$B$8)</f>
        <v>1142628.8995028606</v>
      </c>
      <c r="AW49" s="24">
        <f>MAX(0,AW48*Controls!$B$8)</f>
        <v>1160703.9063720284</v>
      </c>
      <c r="AX49" s="24">
        <f>MAX(0,AX48*Controls!$B$8)</f>
        <v>1177382.5695269778</v>
      </c>
      <c r="AY49" s="24">
        <f>MAX(0,AY48*Controls!$B$8)</f>
        <v>1192835.0385129969</v>
      </c>
      <c r="AZ49" s="24">
        <f>MAX(0,AZ48*Controls!$B$8)</f>
        <v>1207320.6712910717</v>
      </c>
      <c r="BA49" s="24">
        <f>MAX(0,BA48*Controls!$B$8)</f>
        <v>1220831.747003763</v>
      </c>
      <c r="BB49" s="24">
        <f>MAX(0,BB48*Controls!$B$8)</f>
        <v>1233288.8706677326</v>
      </c>
      <c r="BC49" s="24">
        <f>MAX(0,BC48*Controls!$B$8)</f>
        <v>1245150.6814744857</v>
      </c>
      <c r="BD49" s="24">
        <f>MAX(0,BD48*Controls!$B$8)</f>
        <v>1256156.072256204</v>
      </c>
      <c r="BE49" s="24">
        <f>MAX(0,BE48*Controls!$B$8)</f>
        <v>1266746.2226154485</v>
      </c>
      <c r="BF49" s="24">
        <f>MAX(0,BF48*Controls!$B$8)</f>
        <v>1276843.9091457417</v>
      </c>
      <c r="BG49" s="24">
        <f>MAX(0,BG48*Controls!$B$8)</f>
        <v>1286314.9792940244</v>
      </c>
      <c r="BH49" s="24">
        <f>MAX(0,BH48*Controls!$B$8)</f>
        <v>1295589.1836825546</v>
      </c>
      <c r="BI49" s="24">
        <f>MAX(0,BI48*Controls!$B$8)</f>
        <v>1304533.0257084365</v>
      </c>
      <c r="BJ49" s="24">
        <f>MAX(0,BJ48*Controls!$B$8)</f>
        <v>1313068.4835697485</v>
      </c>
      <c r="BK49" s="24">
        <f>SUMPRODUCT((YEAR(EDATE(Controls!$B$6,COLUMN($C$1:$BJ$1)-COLUMN($C$1)))=YEAR(Controls!$B$6)+0)*(COLUMN($C$1:$BJ$1)-COLUMN($C$1)&lt;Controls!$B$7)*$C$49:$BJ$49)</f>
        <v>211300.5236457797</v>
      </c>
      <c r="BL49" s="24">
        <f>SUMPRODUCT((YEAR(EDATE(Controls!$B$6,COLUMN($C$1:$BJ$1)-COLUMN($C$1)))=YEAR(Controls!$B$6)+1)*(COLUMN($C$1:$BJ$1)-COLUMN($C$1)&lt;Controls!$B$7)*$C$49:$BJ$49)</f>
        <v>1983901.5671907212</v>
      </c>
      <c r="BM49" s="24">
        <f>SUMPRODUCT((YEAR(EDATE(Controls!$B$6,COLUMN($C$1:$BJ$1)-COLUMN($C$1)))=YEAR(Controls!$B$6)+2)*(COLUMN($C$1:$BJ$1)-COLUMN($C$1)&lt;Controls!$B$7)*$C$49:$BJ$49)</f>
        <v>6325288.3703005603</v>
      </c>
      <c r="BN49" s="24">
        <f>SUMPRODUCT((YEAR(EDATE(Controls!$B$6,COLUMN($C$1:$BJ$1)-COLUMN($C$1)))=YEAR(Controls!$B$6)+3)*(COLUMN($C$1:$BJ$1)-COLUMN($C$1)&lt;Controls!$B$7)*$C$49:$BJ$49)</f>
        <v>0</v>
      </c>
      <c r="BO49" s="24">
        <f>SUMPRODUCT((YEAR(EDATE(Controls!$B$6,COLUMN($C$1:$BJ$1)-COLUMN($C$1)))=YEAR(Controls!$B$6)+4)*(COLUMN($C$1:$BJ$1)-COLUMN($C$1)&lt;Controls!$B$7)*$C$49:$BJ$49)</f>
        <v>0</v>
      </c>
      <c r="BP49" s="24">
        <f>SUMPRODUCT((YEAR(EDATE(Controls!$B$6,COLUMN($C$1:$BJ$1)-COLUMN($C$1)))=YEAR(Controls!$B$6)+5)*(COLUMN($C$1:$BJ$1)-COLUMN($C$1)&lt;Controls!$B$7)*$C$49:$BJ$49)</f>
        <v>0</v>
      </c>
    </row>
    <row r="50" spans="1:68" x14ac:dyDescent="0.35">
      <c r="A50" s="6" t="s">
        <v>278</v>
      </c>
      <c r="B50" s="20" t="s">
        <v>124</v>
      </c>
      <c r="C50" s="24">
        <f t="shared" ref="C50:AH50" si="26">C48-C49</f>
        <v>-79653.406000000003</v>
      </c>
      <c r="D50" s="24">
        <f t="shared" si="26"/>
        <v>-67297.431127999997</v>
      </c>
      <c r="E50" s="24">
        <f t="shared" si="26"/>
        <v>-51580.351237928546</v>
      </c>
      <c r="F50" s="24">
        <f t="shared" si="26"/>
        <v>-32593.117593534102</v>
      </c>
      <c r="G50" s="24">
        <f t="shared" si="26"/>
        <v>-9951.7898918793362</v>
      </c>
      <c r="H50" s="24">
        <f t="shared" si="26"/>
        <v>12010.272879268079</v>
      </c>
      <c r="I50" s="24">
        <f t="shared" si="26"/>
        <v>34025.937104042503</v>
      </c>
      <c r="J50" s="24">
        <f t="shared" si="26"/>
        <v>58425.240398272923</v>
      </c>
      <c r="K50" s="24">
        <f t="shared" si="26"/>
        <v>85269.039944060976</v>
      </c>
      <c r="L50" s="24">
        <f t="shared" si="26"/>
        <v>114925.80995965401</v>
      </c>
      <c r="M50" s="24">
        <f t="shared" si="26"/>
        <v>147166.8407476843</v>
      </c>
      <c r="N50" s="24">
        <f t="shared" si="26"/>
        <v>182078.42990435642</v>
      </c>
      <c r="O50" s="24">
        <f t="shared" si="26"/>
        <v>203150.18738979645</v>
      </c>
      <c r="P50" s="24">
        <f t="shared" si="26"/>
        <v>244945.14784144156</v>
      </c>
      <c r="Q50" s="24">
        <f t="shared" si="26"/>
        <v>289249.10634029261</v>
      </c>
      <c r="R50" s="24">
        <f t="shared" si="26"/>
        <v>337447.71535734204</v>
      </c>
      <c r="S50" s="24">
        <f t="shared" si="26"/>
        <v>388369.1075021195</v>
      </c>
      <c r="T50" s="24">
        <f t="shared" si="26"/>
        <v>442923.89820631105</v>
      </c>
      <c r="U50" s="24">
        <f t="shared" si="26"/>
        <v>501666.23087281978</v>
      </c>
      <c r="V50" s="24">
        <f t="shared" si="26"/>
        <v>564371.92841944576</v>
      </c>
      <c r="W50" s="24">
        <f t="shared" si="26"/>
        <v>632007.69186668866</v>
      </c>
      <c r="X50" s="24">
        <f t="shared" si="26"/>
        <v>703800.31067052437</v>
      </c>
      <c r="Y50" s="24">
        <f t="shared" si="26"/>
        <v>780999.45119809988</v>
      </c>
      <c r="Z50" s="24">
        <f t="shared" si="26"/>
        <v>862773.92590728169</v>
      </c>
      <c r="AA50" s="24">
        <f t="shared" si="26"/>
        <v>928934.31808332412</v>
      </c>
      <c r="AB50" s="24">
        <f t="shared" si="26"/>
        <v>1022959.5980991861</v>
      </c>
      <c r="AC50" s="24">
        <f t="shared" si="26"/>
        <v>1123128.0222585623</v>
      </c>
      <c r="AD50" s="24">
        <f t="shared" si="26"/>
        <v>1230417.2733629786</v>
      </c>
      <c r="AE50" s="24">
        <f t="shared" si="26"/>
        <v>1344473.1558302341</v>
      </c>
      <c r="AF50" s="24">
        <f t="shared" si="26"/>
        <v>1466671.7693751331</v>
      </c>
      <c r="AG50" s="24">
        <f t="shared" si="26"/>
        <v>1596600.8515811153</v>
      </c>
      <c r="AH50" s="24">
        <f t="shared" si="26"/>
        <v>1735721.6699528843</v>
      </c>
      <c r="AI50" s="24">
        <f t="shared" ref="AI50:BJ50" si="27">AI48-AI49</f>
        <v>1883815.2837491333</v>
      </c>
      <c r="AJ50" s="24">
        <f t="shared" si="27"/>
        <v>2042120.5238045098</v>
      </c>
      <c r="AK50" s="24">
        <f t="shared" si="27"/>
        <v>2210602.2643413544</v>
      </c>
      <c r="AL50" s="24">
        <f t="shared" si="27"/>
        <v>2390420.3804632672</v>
      </c>
      <c r="AM50" s="24">
        <f t="shared" si="27"/>
        <v>2634803.7473220322</v>
      </c>
      <c r="AN50" s="24">
        <f t="shared" si="27"/>
        <v>2760139.1497944193</v>
      </c>
      <c r="AO50" s="24">
        <f t="shared" si="27"/>
        <v>2873492.6183147542</v>
      </c>
      <c r="AP50" s="24">
        <f t="shared" si="27"/>
        <v>2976839.8345808475</v>
      </c>
      <c r="AQ50" s="24">
        <f t="shared" si="27"/>
        <v>3070278.851647506</v>
      </c>
      <c r="AR50" s="24">
        <f t="shared" si="27"/>
        <v>3155761.6491562617</v>
      </c>
      <c r="AS50" s="24">
        <f t="shared" si="27"/>
        <v>3233176.3035444869</v>
      </c>
      <c r="AT50" s="24">
        <f t="shared" si="27"/>
        <v>3304171.53119916</v>
      </c>
      <c r="AU50" s="24">
        <f t="shared" si="27"/>
        <v>3368522.246396549</v>
      </c>
      <c r="AV50" s="24">
        <f t="shared" si="27"/>
        <v>3427886.6985085821</v>
      </c>
      <c r="AW50" s="24">
        <f t="shared" si="27"/>
        <v>3482111.7191160852</v>
      </c>
      <c r="AX50" s="24">
        <f t="shared" si="27"/>
        <v>3532147.7085809335</v>
      </c>
      <c r="AY50" s="24">
        <f t="shared" si="27"/>
        <v>3578505.1155389906</v>
      </c>
      <c r="AZ50" s="24">
        <f t="shared" si="27"/>
        <v>3621962.0138732148</v>
      </c>
      <c r="BA50" s="24">
        <f t="shared" si="27"/>
        <v>3662495.2410112889</v>
      </c>
      <c r="BB50" s="24">
        <f t="shared" si="27"/>
        <v>3699866.6120031979</v>
      </c>
      <c r="BC50" s="24">
        <f t="shared" si="27"/>
        <v>3735452.0444234572</v>
      </c>
      <c r="BD50" s="24">
        <f t="shared" si="27"/>
        <v>3768468.2167686122</v>
      </c>
      <c r="BE50" s="24">
        <f t="shared" si="27"/>
        <v>3800238.6678463453</v>
      </c>
      <c r="BF50" s="24">
        <f t="shared" si="27"/>
        <v>3830531.7274372252</v>
      </c>
      <c r="BG50" s="24">
        <f t="shared" si="27"/>
        <v>3858944.9378820732</v>
      </c>
      <c r="BH50" s="24">
        <f t="shared" si="27"/>
        <v>3886767.5510476641</v>
      </c>
      <c r="BI50" s="24">
        <f t="shared" si="27"/>
        <v>3913599.0771253095</v>
      </c>
      <c r="BJ50" s="24">
        <f t="shared" si="27"/>
        <v>3939205.4507092452</v>
      </c>
      <c r="BK50" s="24">
        <f>SUMPRODUCT((YEAR(EDATE(Controls!$B$6,COLUMN($C$1:$BJ$1)-COLUMN($C$1)))=YEAR(Controls!$B$6)+0)*(COLUMN($C$1:$BJ$1)-COLUMN($C$1)&lt;Controls!$B$7)*$C$50:$BJ$50)</f>
        <v>392825.47508599726</v>
      </c>
      <c r="BL50" s="24">
        <f>SUMPRODUCT((YEAR(EDATE(Controls!$B$6,COLUMN($C$1:$BJ$1)-COLUMN($C$1)))=YEAR(Controls!$B$6)+1)*(COLUMN($C$1:$BJ$1)-COLUMN($C$1)&lt;Controls!$B$7)*$C$50:$BJ$50)</f>
        <v>5951704.701572163</v>
      </c>
      <c r="BM50" s="24">
        <f>SUMPRODUCT((YEAR(EDATE(Controls!$B$6,COLUMN($C$1:$BJ$1)-COLUMN($C$1)))=YEAR(Controls!$B$6)+2)*(COLUMN($C$1:$BJ$1)-COLUMN($C$1)&lt;Controls!$B$7)*$C$50:$BJ$50)</f>
        <v>18975865.110901684</v>
      </c>
      <c r="BN50" s="24">
        <f>SUMPRODUCT((YEAR(EDATE(Controls!$B$6,COLUMN($C$1:$BJ$1)-COLUMN($C$1)))=YEAR(Controls!$B$6)+3)*(COLUMN($C$1:$BJ$1)-COLUMN($C$1)&lt;Controls!$B$7)*$C$50:$BJ$50)</f>
        <v>0</v>
      </c>
      <c r="BO50" s="24">
        <f>SUMPRODUCT((YEAR(EDATE(Controls!$B$6,COLUMN($C$1:$BJ$1)-COLUMN($C$1)))=YEAR(Controls!$B$6)+4)*(COLUMN($C$1:$BJ$1)-COLUMN($C$1)&lt;Controls!$B$7)*$C$50:$BJ$50)</f>
        <v>0</v>
      </c>
      <c r="BP50" s="24">
        <f>SUMPRODUCT((YEAR(EDATE(Controls!$B$6,COLUMN($C$1:$BJ$1)-COLUMN($C$1)))=YEAR(Controls!$B$6)+5)*(COLUMN($C$1:$BJ$1)-COLUMN($C$1)&lt;Controls!$B$7)*$C$50:$BJ$50)</f>
        <v>0</v>
      </c>
    </row>
    <row r="51" spans="1:68" x14ac:dyDescent="0.35">
      <c r="A51" s="6" t="s">
        <v>279</v>
      </c>
      <c r="B51" s="20" t="s">
        <v>110</v>
      </c>
      <c r="C51" s="27">
        <f t="shared" ref="C51:AH51" si="28">IFERROR(C50/C8,0)</f>
        <v>-5.8178992854771137</v>
      </c>
      <c r="D51" s="27">
        <f t="shared" si="28"/>
        <v>-2.5664424670877284</v>
      </c>
      <c r="E51" s="27">
        <f t="shared" si="28"/>
        <v>-1.2247748738633528</v>
      </c>
      <c r="F51" s="27">
        <f t="shared" si="28"/>
        <v>-0.5319034236932183</v>
      </c>
      <c r="G51" s="27">
        <f t="shared" si="28"/>
        <v>-0.11834307491201086</v>
      </c>
      <c r="H51" s="27">
        <f t="shared" si="28"/>
        <v>0.10895332066336753</v>
      </c>
      <c r="I51" s="27">
        <f t="shared" si="28"/>
        <v>0.24321386492661257</v>
      </c>
      <c r="J51" s="27">
        <f t="shared" si="28"/>
        <v>0.33875631237037857</v>
      </c>
      <c r="K51" s="27">
        <f t="shared" si="28"/>
        <v>0.4090887064238205</v>
      </c>
      <c r="L51" s="27">
        <f t="shared" si="28"/>
        <v>0.4631231014688581</v>
      </c>
      <c r="M51" s="27">
        <f t="shared" si="28"/>
        <v>0.50517774046494912</v>
      </c>
      <c r="N51" s="27">
        <f t="shared" si="28"/>
        <v>0.5389076441224272</v>
      </c>
      <c r="O51" s="27">
        <f t="shared" si="28"/>
        <v>0.523052737390442</v>
      </c>
      <c r="P51" s="27">
        <f t="shared" si="28"/>
        <v>0.55109498091480014</v>
      </c>
      <c r="Q51" s="27">
        <f t="shared" si="28"/>
        <v>0.57442910040229922</v>
      </c>
      <c r="R51" s="27">
        <f t="shared" si="28"/>
        <v>0.59393424911381276</v>
      </c>
      <c r="S51" s="27">
        <f t="shared" si="28"/>
        <v>0.61059344645865277</v>
      </c>
      <c r="T51" s="27">
        <f t="shared" si="28"/>
        <v>0.6249000407183336</v>
      </c>
      <c r="U51" s="27">
        <f t="shared" si="28"/>
        <v>0.63706503400638648</v>
      </c>
      <c r="V51" s="27">
        <f t="shared" si="28"/>
        <v>0.64790480131841943</v>
      </c>
      <c r="W51" s="27">
        <f t="shared" si="28"/>
        <v>0.65724366491461661</v>
      </c>
      <c r="X51" s="27">
        <f t="shared" si="28"/>
        <v>0.66564122010356985</v>
      </c>
      <c r="Y51" s="27">
        <f t="shared" si="28"/>
        <v>0.67292210393261587</v>
      </c>
      <c r="Z51" s="27">
        <f t="shared" si="28"/>
        <v>0.67954129924055573</v>
      </c>
      <c r="AA51" s="27">
        <f t="shared" si="28"/>
        <v>0.67014865315105188</v>
      </c>
      <c r="AB51" s="27">
        <f t="shared" si="28"/>
        <v>0.67661489641747252</v>
      </c>
      <c r="AC51" s="27">
        <f t="shared" si="28"/>
        <v>0.68257146788735734</v>
      </c>
      <c r="AD51" s="27">
        <f t="shared" si="28"/>
        <v>0.68783013548659944</v>
      </c>
      <c r="AE51" s="27">
        <f t="shared" si="28"/>
        <v>0.69270127081956456</v>
      </c>
      <c r="AF51" s="27">
        <f t="shared" si="28"/>
        <v>0.69702279150303259</v>
      </c>
      <c r="AG51" s="27">
        <f t="shared" si="28"/>
        <v>0.70105263749189539</v>
      </c>
      <c r="AH51" s="27">
        <f t="shared" si="28"/>
        <v>0.70463895386700381</v>
      </c>
      <c r="AI51" s="27">
        <f t="shared" ref="AI51:BJ51" si="29">IFERROR(AI50/AI8,0)</f>
        <v>0.70800528094439785</v>
      </c>
      <c r="AJ51" s="27">
        <f t="shared" si="29"/>
        <v>0.71100517557206833</v>
      </c>
      <c r="AK51" s="27">
        <f t="shared" si="29"/>
        <v>0.71383386379658942</v>
      </c>
      <c r="AL51" s="27">
        <f t="shared" si="29"/>
        <v>0.71643267899532892</v>
      </c>
      <c r="AM51" s="27">
        <f t="shared" si="29"/>
        <v>0.74850855309139297</v>
      </c>
      <c r="AN51" s="27">
        <f t="shared" si="29"/>
        <v>0.74850509915075258</v>
      </c>
      <c r="AO51" s="27">
        <f t="shared" si="29"/>
        <v>0.74856395705110113</v>
      </c>
      <c r="AP51" s="27">
        <f t="shared" si="29"/>
        <v>0.74854783462155994</v>
      </c>
      <c r="AQ51" s="27">
        <f t="shared" si="29"/>
        <v>0.74859194597725254</v>
      </c>
      <c r="AR51" s="27">
        <f t="shared" si="29"/>
        <v>0.74856786443844536</v>
      </c>
      <c r="AS51" s="27">
        <f t="shared" si="29"/>
        <v>0.74860209134851019</v>
      </c>
      <c r="AT51" s="27">
        <f t="shared" si="29"/>
        <v>0.74857271087956212</v>
      </c>
      <c r="AU51" s="27">
        <f t="shared" si="29"/>
        <v>0.74859992626128824</v>
      </c>
      <c r="AV51" s="27">
        <f t="shared" si="29"/>
        <v>0.748566909942317</v>
      </c>
      <c r="AW51" s="27">
        <f t="shared" si="29"/>
        <v>0.74858918468998026</v>
      </c>
      <c r="AX51" s="27">
        <f t="shared" si="29"/>
        <v>0.74860913307112154</v>
      </c>
      <c r="AY51" s="27">
        <f t="shared" si="29"/>
        <v>0.74862711794369885</v>
      </c>
      <c r="AZ51" s="27">
        <f t="shared" si="29"/>
        <v>0.74858940467422563</v>
      </c>
      <c r="BA51" s="27">
        <f t="shared" si="29"/>
        <v>0.74855143612362451</v>
      </c>
      <c r="BB51" s="27">
        <f t="shared" si="29"/>
        <v>0.7485660397082371</v>
      </c>
      <c r="BC51" s="27">
        <f t="shared" si="29"/>
        <v>0.74852717297506743</v>
      </c>
      <c r="BD51" s="27">
        <f t="shared" si="29"/>
        <v>0.74854005153756653</v>
      </c>
      <c r="BE51" s="27">
        <f t="shared" si="29"/>
        <v>0.74850063073677608</v>
      </c>
      <c r="BF51" s="27">
        <f t="shared" si="29"/>
        <v>0.74846127562309073</v>
      </c>
      <c r="BG51" s="27">
        <f t="shared" si="29"/>
        <v>0.74847258209720646</v>
      </c>
      <c r="BH51" s="27">
        <f t="shared" si="29"/>
        <v>0.74843304909362085</v>
      </c>
      <c r="BI51" s="27">
        <f t="shared" si="29"/>
        <v>0.74839367631758402</v>
      </c>
      <c r="BJ51" s="27">
        <f t="shared" si="29"/>
        <v>0.74840409583007639</v>
      </c>
      <c r="BK51" s="27">
        <f>IFERROR(SUMPRODUCT((YEAR(EDATE(Controls!$B$6,COLUMN($C$1:$BJ$1)-COLUMN($C$1)))=YEAR(Controls!$B$6)+0)*(COLUMN($C$1:$BJ$1)-COLUMN($C$1)&lt;Controls!$B$7)*$C$51:$BJ$51)/SUMPRODUCT((YEAR(EDATE(Controls!$B$6,COLUMN($C$1:$BJ$1)-COLUMN($C$1)))=YEAR(Controls!$B$6)+0)*(COLUMN($C$1:$BJ$1)-COLUMN($C$1)&lt;Controls!$B$7)*1),0)</f>
        <v>-0.63767853621608406</v>
      </c>
      <c r="BL51" s="27">
        <f>IFERROR(SUMPRODUCT((YEAR(EDATE(Controls!$B$6,COLUMN($C$1:$BJ$1)-COLUMN($C$1)))=YEAR(Controls!$B$6)+1)*(COLUMN($C$1:$BJ$1)-COLUMN($C$1)&lt;Controls!$B$7)*$C$51:$BJ$51)/SUMPRODUCT((YEAR(EDATE(Controls!$B$6,COLUMN($C$1:$BJ$1)-COLUMN($C$1)))=YEAR(Controls!$B$6)+1)*(COLUMN($C$1:$BJ$1)-COLUMN($C$1)&lt;Controls!$B$7)*1),0)</f>
        <v>0.61986022320954215</v>
      </c>
      <c r="BM51" s="27">
        <f>IFERROR(SUMPRODUCT((YEAR(EDATE(Controls!$B$6,COLUMN($C$1:$BJ$1)-COLUMN($C$1)))=YEAR(Controls!$B$6)+2)*(COLUMN($C$1:$BJ$1)-COLUMN($C$1)&lt;Controls!$B$7)*$C$51:$BJ$51)/SUMPRODUCT((YEAR(EDATE(Controls!$B$6,COLUMN($C$1:$BJ$1)-COLUMN($C$1)))=YEAR(Controls!$B$6)+2)*(COLUMN($C$1:$BJ$1)-COLUMN($C$1)&lt;Controls!$B$7)*1),0)</f>
        <v>0.69682148382769682</v>
      </c>
      <c r="BN51" s="27">
        <f>IFERROR(SUMPRODUCT((YEAR(EDATE(Controls!$B$6,COLUMN($C$1:$BJ$1)-COLUMN($C$1)))=YEAR(Controls!$B$6)+3)*(COLUMN($C$1:$BJ$1)-COLUMN($C$1)&lt;Controls!$B$7)*$C$51:$BJ$51)/SUMPRODUCT((YEAR(EDATE(Controls!$B$6,COLUMN($C$1:$BJ$1)-COLUMN($C$1)))=YEAR(Controls!$B$6)+3)*(COLUMN($C$1:$BJ$1)-COLUMN($C$1)&lt;Controls!$B$7)*1),0)</f>
        <v>0</v>
      </c>
      <c r="BO51" s="27">
        <f>IFERROR(SUMPRODUCT((YEAR(EDATE(Controls!$B$6,COLUMN($C$1:$BJ$1)-COLUMN($C$1)))=YEAR(Controls!$B$6)+4)*(COLUMN($C$1:$BJ$1)-COLUMN($C$1)&lt;Controls!$B$7)*$C$51:$BJ$51)/SUMPRODUCT((YEAR(EDATE(Controls!$B$6,COLUMN($C$1:$BJ$1)-COLUMN($C$1)))=YEAR(Controls!$B$6)+4)*(COLUMN($C$1:$BJ$1)-COLUMN($C$1)&lt;Controls!$B$7)*1),0)</f>
        <v>0</v>
      </c>
      <c r="BP51" s="27">
        <f>IFERROR(SUMPRODUCT((YEAR(EDATE(Controls!$B$6,COLUMN($C$1:$BJ$1)-COLUMN($C$1)))=YEAR(Controls!$B$6)+5)*(COLUMN($C$1:$BJ$1)-COLUMN($C$1)&lt;Controls!$B$7)*$C$51:$BJ$51)/SUMPRODUCT((YEAR(EDATE(Controls!$B$6,COLUMN($C$1:$BJ$1)-COLUMN($C$1)))=YEAR(Controls!$B$6)+5)*(COLUMN($C$1:$BJ$1)-COLUMN($C$1)&lt;Controls!$B$7)*1),0)</f>
        <v>0</v>
      </c>
    </row>
  </sheetData>
  <mergeCells count="7">
    <mergeCell ref="A27:BP27"/>
    <mergeCell ref="A34:BP34"/>
    <mergeCell ref="A1:BM1"/>
    <mergeCell ref="A5:BP5"/>
    <mergeCell ref="A10:BP10"/>
    <mergeCell ref="A19:BP19"/>
    <mergeCell ref="A20:BP2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7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C1:BJ55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96E8"/>
  </sheetPr>
  <dimension ref="A1:BP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M1"/>
    </sheetView>
  </sheetViews>
  <sheetFormatPr defaultColWidth="8.6328125" defaultRowHeight="14.5" x14ac:dyDescent="0.35"/>
  <cols>
    <col min="1" max="1" width="36" customWidth="1"/>
    <col min="2" max="2" width="12" customWidth="1"/>
    <col min="3" max="62" width="9" customWidth="1"/>
    <col min="63" max="68" width="12" customWidth="1"/>
  </cols>
  <sheetData>
    <row r="1" spans="1:68" ht="27.75" customHeight="1" x14ac:dyDescent="0.35">
      <c r="A1" s="57" t="s">
        <v>280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5" spans="1:68" ht="18" customHeight="1" x14ac:dyDescent="0.35">
      <c r="A5" s="58" t="s">
        <v>281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x14ac:dyDescent="0.35">
      <c r="A6" s="15" t="s">
        <v>282</v>
      </c>
      <c r="B6" s="20" t="s">
        <v>124</v>
      </c>
      <c r="C6" s="29">
        <f>'P&amp;L'!C50</f>
        <v>-79653.406000000003</v>
      </c>
      <c r="D6" s="29">
        <f>'P&amp;L'!D50</f>
        <v>-67297.431127999997</v>
      </c>
      <c r="E6" s="29">
        <f>'P&amp;L'!E50</f>
        <v>-51580.351237928546</v>
      </c>
      <c r="F6" s="29">
        <f>'P&amp;L'!F50</f>
        <v>-32593.117593534102</v>
      </c>
      <c r="G6" s="29">
        <f>'P&amp;L'!G50</f>
        <v>-9951.7898918793362</v>
      </c>
      <c r="H6" s="29">
        <f>'P&amp;L'!H50</f>
        <v>12010.272879268079</v>
      </c>
      <c r="I6" s="29">
        <f>'P&amp;L'!I50</f>
        <v>34025.937104042503</v>
      </c>
      <c r="J6" s="29">
        <f>'P&amp;L'!J50</f>
        <v>58425.240398272923</v>
      </c>
      <c r="K6" s="29">
        <f>'P&amp;L'!K50</f>
        <v>85269.039944060976</v>
      </c>
      <c r="L6" s="29">
        <f>'P&amp;L'!L50</f>
        <v>114925.80995965401</v>
      </c>
      <c r="M6" s="29">
        <f>'P&amp;L'!M50</f>
        <v>147166.8407476843</v>
      </c>
      <c r="N6" s="29">
        <f>'P&amp;L'!N50</f>
        <v>182078.42990435642</v>
      </c>
      <c r="O6" s="29">
        <f>'P&amp;L'!O50</f>
        <v>203150.18738979645</v>
      </c>
      <c r="P6" s="29">
        <f>'P&amp;L'!P50</f>
        <v>244945.14784144156</v>
      </c>
      <c r="Q6" s="29">
        <f>'P&amp;L'!Q50</f>
        <v>289249.10634029261</v>
      </c>
      <c r="R6" s="29">
        <f>'P&amp;L'!R50</f>
        <v>337447.71535734204</v>
      </c>
      <c r="S6" s="29">
        <f>'P&amp;L'!S50</f>
        <v>388369.1075021195</v>
      </c>
      <c r="T6" s="29">
        <f>'P&amp;L'!T50</f>
        <v>442923.89820631105</v>
      </c>
      <c r="U6" s="29">
        <f>'P&amp;L'!U50</f>
        <v>501666.23087281978</v>
      </c>
      <c r="V6" s="29">
        <f>'P&amp;L'!V50</f>
        <v>564371.92841944576</v>
      </c>
      <c r="W6" s="29">
        <f>'P&amp;L'!W50</f>
        <v>632007.69186668866</v>
      </c>
      <c r="X6" s="29">
        <f>'P&amp;L'!X50</f>
        <v>703800.31067052437</v>
      </c>
      <c r="Y6" s="29">
        <f>'P&amp;L'!Y50</f>
        <v>780999.45119809988</v>
      </c>
      <c r="Z6" s="29">
        <f>'P&amp;L'!Z50</f>
        <v>862773.92590728169</v>
      </c>
      <c r="AA6" s="29">
        <f>'P&amp;L'!AA50</f>
        <v>928934.31808332412</v>
      </c>
      <c r="AB6" s="29">
        <f>'P&amp;L'!AB50</f>
        <v>1022959.5980991861</v>
      </c>
      <c r="AC6" s="29">
        <f>'P&amp;L'!AC50</f>
        <v>1123128.0222585623</v>
      </c>
      <c r="AD6" s="29">
        <f>'P&amp;L'!AD50</f>
        <v>1230417.2733629786</v>
      </c>
      <c r="AE6" s="29">
        <f>'P&amp;L'!AE50</f>
        <v>1344473.1558302341</v>
      </c>
      <c r="AF6" s="29">
        <f>'P&amp;L'!AF50</f>
        <v>1466671.7693751331</v>
      </c>
      <c r="AG6" s="29">
        <f>'P&amp;L'!AG50</f>
        <v>1596600.8515811153</v>
      </c>
      <c r="AH6" s="29">
        <f>'P&amp;L'!AH50</f>
        <v>1735721.6699528843</v>
      </c>
      <c r="AI6" s="29">
        <f>'P&amp;L'!AI50</f>
        <v>1883815.2837491333</v>
      </c>
      <c r="AJ6" s="29">
        <f>'P&amp;L'!AJ50</f>
        <v>2042120.5238045098</v>
      </c>
      <c r="AK6" s="29">
        <f>'P&amp;L'!AK50</f>
        <v>2210602.2643413544</v>
      </c>
      <c r="AL6" s="29">
        <f>'P&amp;L'!AL50</f>
        <v>2390420.3804632672</v>
      </c>
      <c r="AM6" s="29">
        <f>'P&amp;L'!AM50</f>
        <v>2634803.7473220322</v>
      </c>
      <c r="AN6" s="29">
        <f>'P&amp;L'!AN50</f>
        <v>2760139.1497944193</v>
      </c>
      <c r="AO6" s="29">
        <f>'P&amp;L'!AO50</f>
        <v>2873492.6183147542</v>
      </c>
      <c r="AP6" s="29">
        <f>'P&amp;L'!AP50</f>
        <v>2976839.8345808475</v>
      </c>
      <c r="AQ6" s="29">
        <f>'P&amp;L'!AQ50</f>
        <v>3070278.851647506</v>
      </c>
      <c r="AR6" s="29">
        <f>'P&amp;L'!AR50</f>
        <v>3155761.6491562617</v>
      </c>
      <c r="AS6" s="29">
        <f>'P&amp;L'!AS50</f>
        <v>3233176.3035444869</v>
      </c>
      <c r="AT6" s="29">
        <f>'P&amp;L'!AT50</f>
        <v>3304171.53119916</v>
      </c>
      <c r="AU6" s="29">
        <f>'P&amp;L'!AU50</f>
        <v>3368522.246396549</v>
      </c>
      <c r="AV6" s="29">
        <f>'P&amp;L'!AV50</f>
        <v>3427886.6985085821</v>
      </c>
      <c r="AW6" s="29">
        <f>'P&amp;L'!AW50</f>
        <v>3482111.7191160852</v>
      </c>
      <c r="AX6" s="29">
        <f>'P&amp;L'!AX50</f>
        <v>3532147.7085809335</v>
      </c>
      <c r="AY6" s="29">
        <f>'P&amp;L'!AY50</f>
        <v>3578505.1155389906</v>
      </c>
      <c r="AZ6" s="29">
        <f>'P&amp;L'!AZ50</f>
        <v>3621962.0138732148</v>
      </c>
      <c r="BA6" s="29">
        <f>'P&amp;L'!BA50</f>
        <v>3662495.2410112889</v>
      </c>
      <c r="BB6" s="29">
        <f>'P&amp;L'!BB50</f>
        <v>3699866.6120031979</v>
      </c>
      <c r="BC6" s="29">
        <f>'P&amp;L'!BC50</f>
        <v>3735452.0444234572</v>
      </c>
      <c r="BD6" s="29">
        <f>'P&amp;L'!BD50</f>
        <v>3768468.2167686122</v>
      </c>
      <c r="BE6" s="29">
        <f>'P&amp;L'!BE50</f>
        <v>3800238.6678463453</v>
      </c>
      <c r="BF6" s="29">
        <f>'P&amp;L'!BF50</f>
        <v>3830531.7274372252</v>
      </c>
      <c r="BG6" s="29">
        <f>'P&amp;L'!BG50</f>
        <v>3858944.9378820732</v>
      </c>
      <c r="BH6" s="29">
        <f>'P&amp;L'!BH50</f>
        <v>3886767.5510476641</v>
      </c>
      <c r="BI6" s="29">
        <f>'P&amp;L'!BI50</f>
        <v>3913599.0771253095</v>
      </c>
      <c r="BJ6" s="29">
        <f>'P&amp;L'!BJ50</f>
        <v>3939205.4507092452</v>
      </c>
    </row>
    <row r="7" spans="1:68" x14ac:dyDescent="0.35">
      <c r="A7" s="15" t="s">
        <v>283</v>
      </c>
      <c r="B7" s="20" t="s">
        <v>124</v>
      </c>
      <c r="C7" s="29">
        <f>OpEx!C27</f>
        <v>0</v>
      </c>
      <c r="D7" s="29">
        <f>OpEx!D27</f>
        <v>0</v>
      </c>
      <c r="E7" s="29">
        <f>OpEx!E27</f>
        <v>0</v>
      </c>
      <c r="F7" s="29">
        <f>OpEx!F27</f>
        <v>0</v>
      </c>
      <c r="G7" s="29">
        <f>OpEx!G27</f>
        <v>0</v>
      </c>
      <c r="H7" s="29">
        <f>OpEx!H27</f>
        <v>0</v>
      </c>
      <c r="I7" s="29">
        <f>OpEx!I27</f>
        <v>138.88888888888889</v>
      </c>
      <c r="J7" s="29">
        <f>OpEx!J27</f>
        <v>0</v>
      </c>
      <c r="K7" s="29">
        <f>OpEx!K27</f>
        <v>0</v>
      </c>
      <c r="L7" s="29">
        <f>OpEx!L27</f>
        <v>0</v>
      </c>
      <c r="M7" s="29">
        <f>OpEx!M27</f>
        <v>0</v>
      </c>
      <c r="N7" s="29">
        <f>OpEx!N27</f>
        <v>0</v>
      </c>
      <c r="O7" s="29">
        <f>OpEx!O27</f>
        <v>0</v>
      </c>
      <c r="P7" s="29">
        <f>OpEx!P27</f>
        <v>0</v>
      </c>
      <c r="Q7" s="29">
        <f>OpEx!Q27</f>
        <v>0</v>
      </c>
      <c r="R7" s="29">
        <f>OpEx!R27</f>
        <v>0</v>
      </c>
      <c r="S7" s="29">
        <f>OpEx!S27</f>
        <v>0</v>
      </c>
      <c r="T7" s="29">
        <f>OpEx!T27</f>
        <v>0</v>
      </c>
      <c r="U7" s="29">
        <f>OpEx!U27</f>
        <v>0</v>
      </c>
      <c r="V7" s="29">
        <f>OpEx!V27</f>
        <v>0</v>
      </c>
      <c r="W7" s="29">
        <f>OpEx!W27</f>
        <v>0</v>
      </c>
      <c r="X7" s="29">
        <f>OpEx!X27</f>
        <v>0</v>
      </c>
      <c r="Y7" s="29">
        <f>OpEx!Y27</f>
        <v>0</v>
      </c>
      <c r="Z7" s="29">
        <f>OpEx!Z27</f>
        <v>0</v>
      </c>
      <c r="AA7" s="29">
        <f>OpEx!AA27</f>
        <v>0</v>
      </c>
      <c r="AB7" s="29">
        <f>OpEx!AB27</f>
        <v>0</v>
      </c>
      <c r="AC7" s="29">
        <f>OpEx!AC27</f>
        <v>0</v>
      </c>
      <c r="AD7" s="29">
        <f>OpEx!AD27</f>
        <v>0</v>
      </c>
      <c r="AE7" s="29">
        <f>OpEx!AE27</f>
        <v>0</v>
      </c>
      <c r="AF7" s="29">
        <f>OpEx!AF27</f>
        <v>0</v>
      </c>
      <c r="AG7" s="29">
        <f>OpEx!AG27</f>
        <v>0</v>
      </c>
      <c r="AH7" s="29">
        <f>OpEx!AH27</f>
        <v>0</v>
      </c>
      <c r="AI7" s="29">
        <f>OpEx!AI27</f>
        <v>0</v>
      </c>
      <c r="AJ7" s="29">
        <f>OpEx!AJ27</f>
        <v>0</v>
      </c>
      <c r="AK7" s="29">
        <f>OpEx!AK27</f>
        <v>0</v>
      </c>
      <c r="AL7" s="29">
        <f>OpEx!AL27</f>
        <v>0</v>
      </c>
      <c r="AM7" s="29">
        <f>OpEx!AM27</f>
        <v>0</v>
      </c>
      <c r="AN7" s="29">
        <f>OpEx!AN27</f>
        <v>0</v>
      </c>
      <c r="AO7" s="29">
        <f>OpEx!AO27</f>
        <v>0</v>
      </c>
      <c r="AP7" s="29">
        <f>OpEx!AP27</f>
        <v>0</v>
      </c>
      <c r="AQ7" s="29">
        <f>OpEx!AQ27</f>
        <v>0</v>
      </c>
      <c r="AR7" s="29">
        <f>OpEx!AR27</f>
        <v>0</v>
      </c>
      <c r="AS7" s="29">
        <f>OpEx!AS27</f>
        <v>0</v>
      </c>
      <c r="AT7" s="29">
        <f>OpEx!AT27</f>
        <v>0</v>
      </c>
      <c r="AU7" s="29">
        <f>OpEx!AU27</f>
        <v>0</v>
      </c>
      <c r="AV7" s="29">
        <f>OpEx!AV27</f>
        <v>0</v>
      </c>
      <c r="AW7" s="29">
        <f>OpEx!AW27</f>
        <v>0</v>
      </c>
      <c r="AX7" s="29">
        <f>OpEx!AX27</f>
        <v>0</v>
      </c>
      <c r="AY7" s="29">
        <f>OpEx!AY27</f>
        <v>0</v>
      </c>
      <c r="AZ7" s="29">
        <f>OpEx!AZ27</f>
        <v>0</v>
      </c>
      <c r="BA7" s="29">
        <f>OpEx!BA27</f>
        <v>0</v>
      </c>
      <c r="BB7" s="29">
        <f>OpEx!BB27</f>
        <v>0</v>
      </c>
      <c r="BC7" s="29">
        <f>OpEx!BC27</f>
        <v>0</v>
      </c>
      <c r="BD7" s="29">
        <f>OpEx!BD27</f>
        <v>0</v>
      </c>
      <c r="BE7" s="29">
        <f>OpEx!BE27</f>
        <v>0</v>
      </c>
      <c r="BF7" s="29">
        <f>OpEx!BF27</f>
        <v>0</v>
      </c>
      <c r="BG7" s="29">
        <f>OpEx!BG27</f>
        <v>0</v>
      </c>
      <c r="BH7" s="29">
        <f>OpEx!BH27</f>
        <v>0</v>
      </c>
      <c r="BI7" s="29">
        <f>OpEx!BI27</f>
        <v>0</v>
      </c>
      <c r="BJ7" s="29">
        <f>OpEx!BJ27</f>
        <v>0</v>
      </c>
    </row>
    <row r="8" spans="1:68" x14ac:dyDescent="0.35">
      <c r="A8" s="15" t="s">
        <v>284</v>
      </c>
      <c r="B8" s="20" t="s">
        <v>124</v>
      </c>
      <c r="C8" s="24">
        <f>-Revenue!C96</f>
        <v>-5082.9736000000021</v>
      </c>
      <c r="D8" s="24">
        <f>-(Revenue!D96-Revenue!C96)</f>
        <v>-4869.3230067999984</v>
      </c>
      <c r="E8" s="24">
        <f>-(Revenue!E96-Revenue!D96)</f>
        <v>-4952.9115005243984</v>
      </c>
      <c r="F8" s="24">
        <f>-(Revenue!F96-Revenue!E96)</f>
        <v>-5134.0275459506465</v>
      </c>
      <c r="G8" s="24">
        <f>-(Revenue!G96-Revenue!F96)</f>
        <v>-5555.4028968241691</v>
      </c>
      <c r="H8" s="24">
        <f>-(Revenue!H96-Revenue!G96)</f>
        <v>-5781.8407909237103</v>
      </c>
      <c r="I8" s="24">
        <f>-(Revenue!I96-Revenue!H96)</f>
        <v>-6112.7564924186809</v>
      </c>
      <c r="J8" s="24">
        <f>-(Revenue!J96-Revenue!I96)</f>
        <v>-6202.9343720027755</v>
      </c>
      <c r="K8" s="24">
        <f>-(Revenue!K96-Revenue!J96)</f>
        <v>-6634.0440665771093</v>
      </c>
      <c r="L8" s="24">
        <f>-(Revenue!L96-Revenue!K96)</f>
        <v>-7166.7711903136005</v>
      </c>
      <c r="M8" s="24">
        <f>-(Revenue!M96-Revenue!L96)</f>
        <v>-7487.0510979612009</v>
      </c>
      <c r="N8" s="24">
        <f>-(Revenue!N96-Revenue!M96)</f>
        <v>-8027.6745765217856</v>
      </c>
      <c r="O8" s="24">
        <f>-(Revenue!O96-Revenue!N96)</f>
        <v>-8477.1377600152919</v>
      </c>
      <c r="P8" s="24">
        <f>-(Revenue!P96-Revenue!O96)</f>
        <v>-9203.6845253930369</v>
      </c>
      <c r="Q8" s="24">
        <f>-(Revenue!Q96-Revenue!P96)</f>
        <v>-9504.7198614545341</v>
      </c>
      <c r="R8" s="24">
        <f>-(Revenue!R96-Revenue!Q96)</f>
        <v>-10143.732787221554</v>
      </c>
      <c r="S8" s="24">
        <f>-(Revenue!S96-Revenue!R96)</f>
        <v>-10589.45942986272</v>
      </c>
      <c r="T8" s="24">
        <f>-(Revenue!T96-Revenue!S96)</f>
        <v>-11335.029435744698</v>
      </c>
      <c r="U8" s="24">
        <f>-(Revenue!U96-Revenue!T96)</f>
        <v>-11951.741303017159</v>
      </c>
      <c r="V8" s="24">
        <f>-(Revenue!V96-Revenue!U96)</f>
        <v>-12988.805339772982</v>
      </c>
      <c r="W8" s="24">
        <f>-(Revenue!W96-Revenue!V96)</f>
        <v>-13758.603303986863</v>
      </c>
      <c r="X8" s="24">
        <f>-(Revenue!X96-Revenue!W96)</f>
        <v>-14575.079189873533</v>
      </c>
      <c r="Y8" s="24">
        <f>-(Revenue!Y96-Revenue!X96)</f>
        <v>-15516.913861251553</v>
      </c>
      <c r="Z8" s="24">
        <f>-(Revenue!Z96-Revenue!Y96)</f>
        <v>-16407.232242693572</v>
      </c>
      <c r="AA8" s="24">
        <f>-(Revenue!AA96-Revenue!Z96)</f>
        <v>-17526.416099230875</v>
      </c>
      <c r="AB8" s="24">
        <f>-(Revenue!AB96-Revenue!AA96)</f>
        <v>-18793.067004495009</v>
      </c>
      <c r="AC8" s="24">
        <f>-(Revenue!AC96-Revenue!AB96)</f>
        <v>-20129.892959233315</v>
      </c>
      <c r="AD8" s="24">
        <f>-(Revenue!AD96-Revenue!AC96)</f>
        <v>-21261.918972718122</v>
      </c>
      <c r="AE8" s="24">
        <f>-(Revenue!AE96-Revenue!AD96)</f>
        <v>-22700.421583084855</v>
      </c>
      <c r="AF8" s="24">
        <f>-(Revenue!AF96-Revenue!AE96)</f>
        <v>-24152.825761869084</v>
      </c>
      <c r="AG8" s="24">
        <f>-(Revenue!AG96-Revenue!AF96)</f>
        <v>-25794.540084774431</v>
      </c>
      <c r="AH8" s="24">
        <f>-(Revenue!AH96-Revenue!AG96)</f>
        <v>-27509.291963857075</v>
      </c>
      <c r="AI8" s="24">
        <f>-(Revenue!AI96-Revenue!AH96)</f>
        <v>-29421.331034019706</v>
      </c>
      <c r="AJ8" s="24">
        <f>-(Revenue!AJ96-Revenue!AI96)</f>
        <v>-31191.896700894926</v>
      </c>
      <c r="AK8" s="24">
        <f>-(Revenue!AK96-Revenue!AJ96)</f>
        <v>-33372.112068084651</v>
      </c>
      <c r="AL8" s="24">
        <f>-(Revenue!AL96-Revenue!AK96)</f>
        <v>-35612.600799563923</v>
      </c>
      <c r="AM8" s="24">
        <f>-(Revenue!AM96-Revenue!AL96)</f>
        <v>4370.9514719396248</v>
      </c>
      <c r="AN8" s="24">
        <f>-(Revenue!AN96-Revenue!AM96)</f>
        <v>4172.9930680945981</v>
      </c>
      <c r="AO8" s="24">
        <f>-(Revenue!AO96-Revenue!AN96)</f>
        <v>3934.429297896917</v>
      </c>
      <c r="AP8" s="24">
        <f>-(Revenue!AP96-Revenue!AO96)</f>
        <v>3830.3025781345787</v>
      </c>
      <c r="AQ8" s="24">
        <f>-(Revenue!AQ96-Revenue!AP96)</f>
        <v>3667.87103275134</v>
      </c>
      <c r="AR8" s="24">
        <f>-(Revenue!AR96-Revenue!AQ96)</f>
        <v>3465.0002450666507</v>
      </c>
      <c r="AS8" s="24">
        <f>-(Revenue!AS96-Revenue!AR96)</f>
        <v>3260.6833141407114</v>
      </c>
      <c r="AT8" s="24">
        <f>-(Revenue!AT96-Revenue!AS96)</f>
        <v>3151.7582475711242</v>
      </c>
      <c r="AU8" s="24">
        <f>-(Revenue!AU96-Revenue!AT96)</f>
        <v>2984.4877352876356</v>
      </c>
      <c r="AV8" s="24">
        <f>-(Revenue!AV96-Revenue!AU96)</f>
        <v>2776.7369466119562</v>
      </c>
      <c r="AW8" s="24">
        <f>-(Revenue!AW96-Revenue!AV96)</f>
        <v>2503.9485616795137</v>
      </c>
      <c r="AX8" s="24">
        <f>-(Revenue!AX96-Revenue!AW96)</f>
        <v>2330.3869641741621</v>
      </c>
      <c r="AY8" s="24">
        <f>-(Revenue!AY96-Revenue!AX96)</f>
        <v>2116.271083455591</v>
      </c>
      <c r="AZ8" s="24">
        <f>-(Revenue!AZ96-Revenue!AY96)</f>
        <v>2036.6426171886269</v>
      </c>
      <c r="BA8" s="24">
        <f>-(Revenue!BA96-Revenue!AZ96)</f>
        <v>1859.5589526920812</v>
      </c>
      <c r="BB8" s="24">
        <f>-(Revenue!BB96-Revenue!BA96)</f>
        <v>1777.9389188681962</v>
      </c>
      <c r="BC8" s="24">
        <f>-(Revenue!BC96-Revenue!BB96)</f>
        <v>1598.8446622717893</v>
      </c>
      <c r="BD8" s="24">
        <f>-(Revenue!BD96-Revenue!BC96)</f>
        <v>1515.1947931090253</v>
      </c>
      <c r="BE8" s="24">
        <f>-(Revenue!BE96-Revenue!BD96)</f>
        <v>1334.0512363913585</v>
      </c>
      <c r="BF8" s="24">
        <f>-(Revenue!BF96-Revenue!BE96)</f>
        <v>1151.4823778937571</v>
      </c>
      <c r="BG8" s="24">
        <f>-(Revenue!BG96-Revenue!BF96)</f>
        <v>1103.5251152686542</v>
      </c>
      <c r="BH8" s="24">
        <f>-(Revenue!BH96-Revenue!BG96)</f>
        <v>919.03700556326658</v>
      </c>
      <c r="BI8" s="24">
        <f>-(Revenue!BI96-Revenue!BH96)</f>
        <v>829.94104190560756</v>
      </c>
      <c r="BJ8" s="24">
        <f>-(Revenue!BJ96-Revenue!BI96)</f>
        <v>643.29854945518309</v>
      </c>
    </row>
    <row r="9" spans="1:68" x14ac:dyDescent="0.35">
      <c r="A9" s="15" t="s">
        <v>285</v>
      </c>
      <c r="B9" s="20" t="s">
        <v>124</v>
      </c>
      <c r="C9" s="24">
        <f>'P&amp;L'!C41*0.5</f>
        <v>38771.25</v>
      </c>
      <c r="D9" s="24">
        <f>('P&amp;L'!D41-'P&amp;L'!C41)*0.5</f>
        <v>0</v>
      </c>
      <c r="E9" s="24">
        <f>('P&amp;L'!E41-'P&amp;L'!D41)*0.5</f>
        <v>0</v>
      </c>
      <c r="F9" s="24">
        <f>('P&amp;L'!F41-'P&amp;L'!E41)*0.5</f>
        <v>0</v>
      </c>
      <c r="G9" s="24">
        <f>('P&amp;L'!G41-'P&amp;L'!F41)*0.5</f>
        <v>0</v>
      </c>
      <c r="H9" s="24">
        <f>('P&amp;L'!H41-'P&amp;L'!G41)*0.5</f>
        <v>0</v>
      </c>
      <c r="I9" s="24">
        <f>('P&amp;L'!I41-'P&amp;L'!H41)*0.5</f>
        <v>0</v>
      </c>
      <c r="J9" s="24">
        <f>('P&amp;L'!J41-'P&amp;L'!I41)*0.5</f>
        <v>0</v>
      </c>
      <c r="K9" s="24">
        <f>('P&amp;L'!K41-'P&amp;L'!J41)*0.5</f>
        <v>0</v>
      </c>
      <c r="L9" s="24">
        <f>('P&amp;L'!L41-'P&amp;L'!K41)*0.5</f>
        <v>0</v>
      </c>
      <c r="M9" s="24">
        <f>('P&amp;L'!M41-'P&amp;L'!L41)*0.5</f>
        <v>0</v>
      </c>
      <c r="N9" s="24">
        <f>('P&amp;L'!N41-'P&amp;L'!M41)*0.5</f>
        <v>0</v>
      </c>
      <c r="O9" s="24">
        <f>('P&amp;L'!O41-'P&amp;L'!N41)*0.5</f>
        <v>9810.75</v>
      </c>
      <c r="P9" s="24">
        <f>('P&amp;L'!P41-'P&amp;L'!O41)*0.5</f>
        <v>0</v>
      </c>
      <c r="Q9" s="24">
        <f>('P&amp;L'!Q41-'P&amp;L'!P41)*0.5</f>
        <v>0</v>
      </c>
      <c r="R9" s="24">
        <f>('P&amp;L'!R41-'P&amp;L'!Q41)*0.5</f>
        <v>0</v>
      </c>
      <c r="S9" s="24">
        <f>('P&amp;L'!S41-'P&amp;L'!R41)*0.5</f>
        <v>0</v>
      </c>
      <c r="T9" s="24">
        <f>('P&amp;L'!T41-'P&amp;L'!S41)*0.5</f>
        <v>0</v>
      </c>
      <c r="U9" s="24">
        <f>('P&amp;L'!U41-'P&amp;L'!T41)*0.5</f>
        <v>0</v>
      </c>
      <c r="V9" s="24">
        <f>('P&amp;L'!V41-'P&amp;L'!U41)*0.5</f>
        <v>0</v>
      </c>
      <c r="W9" s="24">
        <f>('P&amp;L'!W41-'P&amp;L'!V41)*0.5</f>
        <v>0</v>
      </c>
      <c r="X9" s="24">
        <f>('P&amp;L'!X41-'P&amp;L'!W41)*0.5</f>
        <v>0</v>
      </c>
      <c r="Y9" s="24">
        <f>('P&amp;L'!Y41-'P&amp;L'!X41)*0.5</f>
        <v>0</v>
      </c>
      <c r="Z9" s="24">
        <f>('P&amp;L'!Z41-'P&amp;L'!Y41)*0.5</f>
        <v>0</v>
      </c>
      <c r="AA9" s="24">
        <f>('P&amp;L'!AA41-'P&amp;L'!Z41)*0.5</f>
        <v>12466.806249999994</v>
      </c>
      <c r="AB9" s="24">
        <f>('P&amp;L'!AB41-'P&amp;L'!AA41)*0.5</f>
        <v>0</v>
      </c>
      <c r="AC9" s="24">
        <f>('P&amp;L'!AC41-'P&amp;L'!AB41)*0.5</f>
        <v>0</v>
      </c>
      <c r="AD9" s="24">
        <f>('P&amp;L'!AD41-'P&amp;L'!AC41)*0.5</f>
        <v>0</v>
      </c>
      <c r="AE9" s="24">
        <f>('P&amp;L'!AE41-'P&amp;L'!AD41)*0.5</f>
        <v>0</v>
      </c>
      <c r="AF9" s="24">
        <f>('P&amp;L'!AF41-'P&amp;L'!AE41)*0.5</f>
        <v>0</v>
      </c>
      <c r="AG9" s="24">
        <f>('P&amp;L'!AG41-'P&amp;L'!AF41)*0.5</f>
        <v>0</v>
      </c>
      <c r="AH9" s="24">
        <f>('P&amp;L'!AH41-'P&amp;L'!AG41)*0.5</f>
        <v>0</v>
      </c>
      <c r="AI9" s="24">
        <f>('P&amp;L'!AI41-'P&amp;L'!AH41)*0.5</f>
        <v>0</v>
      </c>
      <c r="AJ9" s="24">
        <f>('P&amp;L'!AJ41-'P&amp;L'!AI41)*0.5</f>
        <v>0</v>
      </c>
      <c r="AK9" s="24">
        <f>('P&amp;L'!AK41-'P&amp;L'!AJ41)*0.5</f>
        <v>0</v>
      </c>
      <c r="AL9" s="24">
        <f>('P&amp;L'!AL41-'P&amp;L'!AK41)*0.5</f>
        <v>0</v>
      </c>
      <c r="AM9" s="24">
        <f>('P&amp;L'!AM41-'P&amp;L'!AL41)*0.5</f>
        <v>-61048.806249999994</v>
      </c>
      <c r="AN9" s="24">
        <f>('P&amp;L'!AN41-'P&amp;L'!AM41)*0.5</f>
        <v>0</v>
      </c>
      <c r="AO9" s="24">
        <f>('P&amp;L'!AO41-'P&amp;L'!AN41)*0.5</f>
        <v>0</v>
      </c>
      <c r="AP9" s="24">
        <f>('P&amp;L'!AP41-'P&amp;L'!AO41)*0.5</f>
        <v>0</v>
      </c>
      <c r="AQ9" s="24">
        <f>('P&amp;L'!AQ41-'P&amp;L'!AP41)*0.5</f>
        <v>0</v>
      </c>
      <c r="AR9" s="24">
        <f>('P&amp;L'!AR41-'P&amp;L'!AQ41)*0.5</f>
        <v>0</v>
      </c>
      <c r="AS9" s="24">
        <f>('P&amp;L'!AS41-'P&amp;L'!AR41)*0.5</f>
        <v>0</v>
      </c>
      <c r="AT9" s="24">
        <f>('P&amp;L'!AT41-'P&amp;L'!AS41)*0.5</f>
        <v>0</v>
      </c>
      <c r="AU9" s="24">
        <f>('P&amp;L'!AU41-'P&amp;L'!AT41)*0.5</f>
        <v>0</v>
      </c>
      <c r="AV9" s="24">
        <f>('P&amp;L'!AV41-'P&amp;L'!AU41)*0.5</f>
        <v>0</v>
      </c>
      <c r="AW9" s="24">
        <f>('P&amp;L'!AW41-'P&amp;L'!AV41)*0.5</f>
        <v>0</v>
      </c>
      <c r="AX9" s="24">
        <f>('P&amp;L'!AX41-'P&amp;L'!AW41)*0.5</f>
        <v>0</v>
      </c>
      <c r="AY9" s="24">
        <f>('P&amp;L'!AY41-'P&amp;L'!AX41)*0.5</f>
        <v>0</v>
      </c>
      <c r="AZ9" s="24">
        <f>('P&amp;L'!AZ41-'P&amp;L'!AY41)*0.5</f>
        <v>0</v>
      </c>
      <c r="BA9" s="24">
        <f>('P&amp;L'!BA41-'P&amp;L'!AZ41)*0.5</f>
        <v>0</v>
      </c>
      <c r="BB9" s="24">
        <f>('P&amp;L'!BB41-'P&amp;L'!BA41)*0.5</f>
        <v>0</v>
      </c>
      <c r="BC9" s="24">
        <f>('P&amp;L'!BC41-'P&amp;L'!BB41)*0.5</f>
        <v>0</v>
      </c>
      <c r="BD9" s="24">
        <f>('P&amp;L'!BD41-'P&amp;L'!BC41)*0.5</f>
        <v>0</v>
      </c>
      <c r="BE9" s="24">
        <f>('P&amp;L'!BE41-'P&amp;L'!BD41)*0.5</f>
        <v>0</v>
      </c>
      <c r="BF9" s="24">
        <f>('P&amp;L'!BF41-'P&amp;L'!BE41)*0.5</f>
        <v>0</v>
      </c>
      <c r="BG9" s="24">
        <f>('P&amp;L'!BG41-'P&amp;L'!BF41)*0.5</f>
        <v>0</v>
      </c>
      <c r="BH9" s="24">
        <f>('P&amp;L'!BH41-'P&amp;L'!BG41)*0.5</f>
        <v>0</v>
      </c>
      <c r="BI9" s="24">
        <f>('P&amp;L'!BI41-'P&amp;L'!BH41)*0.5</f>
        <v>0</v>
      </c>
      <c r="BJ9" s="24">
        <f>('P&amp;L'!BJ41-'P&amp;L'!BI41)*0.5</f>
        <v>0</v>
      </c>
    </row>
    <row r="10" spans="1:68" x14ac:dyDescent="0.35">
      <c r="A10" s="15" t="s">
        <v>286</v>
      </c>
      <c r="B10" s="20" t="s">
        <v>124</v>
      </c>
      <c r="C10" s="24">
        <f>Revenue!C101</f>
        <v>39689.324399999998</v>
      </c>
      <c r="D10" s="24">
        <f>Revenue!D101-Revenue!C101</f>
        <v>75170.050117199993</v>
      </c>
      <c r="E10" s="24">
        <f>Revenue!E101-Revenue!D101</f>
        <v>107997.21136527215</v>
      </c>
      <c r="F10" s="24">
        <f>Revenue!F101-Revenue!E101</f>
        <v>138992.33877694796</v>
      </c>
      <c r="G10" s="24">
        <f>Revenue!G101-Revenue!F101</f>
        <v>171734.50569159578</v>
      </c>
      <c r="H10" s="24">
        <f>Revenue!H101-Revenue!G101</f>
        <v>202832.88121629856</v>
      </c>
      <c r="I10" s="24">
        <f>Revenue!I101-Revenue!H101</f>
        <v>235169.51215335191</v>
      </c>
      <c r="J10" s="24">
        <f>Revenue!J101-Revenue!I101</f>
        <v>263142.34588617575</v>
      </c>
      <c r="K10" s="24">
        <f>Revenue!K101-Revenue!J101</f>
        <v>293237.54382834537</v>
      </c>
      <c r="L10" s="24">
        <f>Revenue!L101-Revenue!K101</f>
        <v>325898.51860539871</v>
      </c>
      <c r="M10" s="24">
        <f>Revenue!M101-Revenue!L101</f>
        <v>357308.75142516778</v>
      </c>
      <c r="N10" s="24">
        <f>Revenue!N101-Revenue!M101</f>
        <v>391249.60685686069</v>
      </c>
      <c r="O10" s="24">
        <f>Revenue!O101-Revenue!N101</f>
        <v>426986.6816817224</v>
      </c>
      <c r="P10" s="24">
        <f>Revenue!P101-Revenue!O101</f>
        <v>465785.25244949758</v>
      </c>
      <c r="Q10" s="24">
        <f>Revenue!Q101-Revenue!P101</f>
        <v>502895.35898143658</v>
      </c>
      <c r="R10" s="24">
        <f>Revenue!R101-Revenue!Q101</f>
        <v>542464.11168321734</v>
      </c>
      <c r="S10" s="24">
        <f>Revenue!S101-Revenue!R101</f>
        <v>581048.1118176505</v>
      </c>
      <c r="T10" s="24">
        <f>Revenue!T101-Revenue!S101</f>
        <v>622629.05091516487</v>
      </c>
      <c r="U10" s="24">
        <f>Revenue!U101-Revenue!T101</f>
        <v>666332.41711665131</v>
      </c>
      <c r="V10" s="24">
        <f>Revenue!V101-Revenue!U101</f>
        <v>716231.03099634778</v>
      </c>
      <c r="W10" s="24">
        <f>Revenue!W101-Revenue!V101</f>
        <v>768384.64897361491</v>
      </c>
      <c r="X10" s="24">
        <f>Revenue!X101-Revenue!W101</f>
        <v>822779.38812762219</v>
      </c>
      <c r="Y10" s="24">
        <f>Revenue!Y101-Revenue!X101</f>
        <v>879619.88240391575</v>
      </c>
      <c r="Z10" s="24">
        <f>Revenue!Z101-Revenue!Y101</f>
        <v>938913.9638768062</v>
      </c>
      <c r="AA10" s="24">
        <f>Revenue!AA101-Revenue!Z101</f>
        <v>1003573.0440925248</v>
      </c>
      <c r="AB10" s="24">
        <f>Revenue!AB101-Revenue!AA101</f>
        <v>1073929.7900838777</v>
      </c>
      <c r="AC10" s="24">
        <f>Revenue!AC101-Revenue!AB101</f>
        <v>1150078.084202569</v>
      </c>
      <c r="AD10" s="24">
        <f>Revenue!AD101-Revenue!AC101</f>
        <v>1227992.0210555475</v>
      </c>
      <c r="AE10" s="24">
        <f>Revenue!AE101-Revenue!AD101</f>
        <v>1311479.3338280339</v>
      </c>
      <c r="AF10" s="24">
        <f>Revenue!AF101-Revenue!AE101</f>
        <v>1400189.8546269275</v>
      </c>
      <c r="AG10" s="24">
        <f>Revenue!AG101-Revenue!AF101</f>
        <v>1494596.6113042869</v>
      </c>
      <c r="AH10" s="24">
        <f>Revenue!AH101-Revenue!AG101</f>
        <v>1594814.0386407003</v>
      </c>
      <c r="AI10" s="24">
        <f>Revenue!AI101-Revenue!AH101</f>
        <v>1703421.9332155474</v>
      </c>
      <c r="AJ10" s="24">
        <f>Revenue!AJ101-Revenue!AI101</f>
        <v>1816692.7843857817</v>
      </c>
      <c r="AK10" s="24">
        <f>Revenue!AK101-Revenue!AJ101</f>
        <v>1938818.4056351744</v>
      </c>
      <c r="AL10" s="24">
        <f>Revenue!AL101-Revenue!AK101</f>
        <v>2069337.5422987491</v>
      </c>
      <c r="AM10" s="24">
        <f>Revenue!AM101-Revenue!AL101</f>
        <v>1878590.8345321231</v>
      </c>
      <c r="AN10" s="24">
        <f>Revenue!AN101-Revenue!AM101</f>
        <v>1706224.5083865933</v>
      </c>
      <c r="AO10" s="24">
        <f>Revenue!AO101-Revenue!AN101</f>
        <v>1550684.9416308627</v>
      </c>
      <c r="AP10" s="24">
        <f>Revenue!AP101-Revenue!AO101</f>
        <v>1409771.1419321075</v>
      </c>
      <c r="AQ10" s="24">
        <f>Revenue!AQ101-Revenue!AP101</f>
        <v>1282624.4854350016</v>
      </c>
      <c r="AR10" s="24">
        <f>Revenue!AR101-Revenue!AQ101</f>
        <v>1168110.4735421911</v>
      </c>
      <c r="AS10" s="24">
        <f>Revenue!AS101-Revenue!AR101</f>
        <v>1065090.5862517506</v>
      </c>
      <c r="AT10" s="24">
        <f>Revenue!AT101-Revenue!AS101</f>
        <v>971956.26272649318</v>
      </c>
      <c r="AU10" s="24">
        <f>Revenue!AU101-Revenue!AT101</f>
        <v>888280.1944020167</v>
      </c>
      <c r="AV10" s="24">
        <f>Revenue!AV101-Revenue!AU101</f>
        <v>813319.992443569</v>
      </c>
      <c r="AW10" s="24">
        <f>Revenue!AW101-Revenue!AV101</f>
        <v>748905.5552906245</v>
      </c>
      <c r="AX10" s="24">
        <f>Revenue!AX101-Revenue!AW101</f>
        <v>691413.1122154519</v>
      </c>
      <c r="AY10" s="24">
        <f>Revenue!AY101-Revenue!AX101</f>
        <v>640331.87982871383</v>
      </c>
      <c r="AZ10" s="24">
        <f>Revenue!AZ101-Revenue!AY101</f>
        <v>594408.92194903642</v>
      </c>
      <c r="BA10" s="24">
        <f>Revenue!BA101-Revenue!AZ101</f>
        <v>553755.30511538684</v>
      </c>
      <c r="BB10" s="24">
        <f>Revenue!BB101-Revenue!BA101</f>
        <v>517329.37794807553</v>
      </c>
      <c r="BC10" s="24">
        <f>Revenue!BC101-Revenue!BB101</f>
        <v>485327.0233323127</v>
      </c>
      <c r="BD10" s="24">
        <f>Revenue!BD101-Revenue!BC101</f>
        <v>456783.69863504916</v>
      </c>
      <c r="BE10" s="24">
        <f>Revenue!BE101-Revenue!BD101</f>
        <v>431965.38862206042</v>
      </c>
      <c r="BF10" s="24">
        <f>Revenue!BF101-Revenue!BE101</f>
        <v>410544.93270590901</v>
      </c>
      <c r="BG10" s="24">
        <f>Revenue!BG101-Revenue!BF101</f>
        <v>391543.59618275613</v>
      </c>
      <c r="BH10" s="24">
        <f>Revenue!BH101-Revenue!BG101</f>
        <v>375429.52777627856</v>
      </c>
      <c r="BI10" s="24">
        <f>Revenue!BI101-Revenue!BH101</f>
        <v>361378.44352918863</v>
      </c>
      <c r="BJ10" s="24">
        <f>Revenue!BJ101-Revenue!BI101</f>
        <v>349783.84416635334</v>
      </c>
    </row>
    <row r="11" spans="1:68" x14ac:dyDescent="0.35">
      <c r="A11" s="6" t="s">
        <v>287</v>
      </c>
      <c r="B11" s="20" t="s">
        <v>124</v>
      </c>
      <c r="C11" s="24">
        <f t="shared" ref="C11:AH11" si="0">C6+C7+C8+C9+C10</f>
        <v>-6275.8052000000025</v>
      </c>
      <c r="D11" s="24">
        <f t="shared" si="0"/>
        <v>3003.295982399999</v>
      </c>
      <c r="E11" s="24">
        <f t="shared" si="0"/>
        <v>51463.948626819198</v>
      </c>
      <c r="F11" s="24">
        <f t="shared" si="0"/>
        <v>101265.19363746321</v>
      </c>
      <c r="G11" s="24">
        <f t="shared" si="0"/>
        <v>156227.31290289227</v>
      </c>
      <c r="H11" s="24">
        <f t="shared" si="0"/>
        <v>209061.31330464291</v>
      </c>
      <c r="I11" s="24">
        <f t="shared" si="0"/>
        <v>263221.58165386465</v>
      </c>
      <c r="J11" s="24">
        <f t="shared" si="0"/>
        <v>315364.6519124459</v>
      </c>
      <c r="K11" s="24">
        <f t="shared" si="0"/>
        <v>371872.53970582923</v>
      </c>
      <c r="L11" s="24">
        <f t="shared" si="0"/>
        <v>433657.55737473909</v>
      </c>
      <c r="M11" s="24">
        <f t="shared" si="0"/>
        <v>496988.54107489088</v>
      </c>
      <c r="N11" s="24">
        <f t="shared" si="0"/>
        <v>565300.36218469532</v>
      </c>
      <c r="O11" s="24">
        <f t="shared" si="0"/>
        <v>631470.48131150356</v>
      </c>
      <c r="P11" s="24">
        <f t="shared" si="0"/>
        <v>701526.71576554608</v>
      </c>
      <c r="Q11" s="24">
        <f t="shared" si="0"/>
        <v>782639.74546027463</v>
      </c>
      <c r="R11" s="24">
        <f t="shared" si="0"/>
        <v>869768.09425333783</v>
      </c>
      <c r="S11" s="24">
        <f t="shared" si="0"/>
        <v>958827.7598899072</v>
      </c>
      <c r="T11" s="24">
        <f t="shared" si="0"/>
        <v>1054217.9196857312</v>
      </c>
      <c r="U11" s="24">
        <f t="shared" si="0"/>
        <v>1156046.9066864541</v>
      </c>
      <c r="V11" s="24">
        <f t="shared" si="0"/>
        <v>1267614.1540760207</v>
      </c>
      <c r="W11" s="24">
        <f t="shared" si="0"/>
        <v>1386633.7375363167</v>
      </c>
      <c r="X11" s="24">
        <f t="shared" si="0"/>
        <v>1512004.619608273</v>
      </c>
      <c r="Y11" s="24">
        <f t="shared" si="0"/>
        <v>1645102.419740764</v>
      </c>
      <c r="Z11" s="24">
        <f t="shared" si="0"/>
        <v>1785280.6575413942</v>
      </c>
      <c r="AA11" s="24">
        <f t="shared" si="0"/>
        <v>1927447.7523266179</v>
      </c>
      <c r="AB11" s="24">
        <f t="shared" si="0"/>
        <v>2078096.3211785688</v>
      </c>
      <c r="AC11" s="24">
        <f t="shared" si="0"/>
        <v>2253076.2135018976</v>
      </c>
      <c r="AD11" s="24">
        <f t="shared" si="0"/>
        <v>2437147.3754458083</v>
      </c>
      <c r="AE11" s="24">
        <f t="shared" si="0"/>
        <v>2633252.0680751828</v>
      </c>
      <c r="AF11" s="24">
        <f t="shared" si="0"/>
        <v>2842708.7982401913</v>
      </c>
      <c r="AG11" s="24">
        <f t="shared" si="0"/>
        <v>3065402.9228006275</v>
      </c>
      <c r="AH11" s="24">
        <f t="shared" si="0"/>
        <v>3303026.4166297275</v>
      </c>
      <c r="AI11" s="24">
        <f t="shared" ref="AI11:BJ11" si="1">AI6+AI7+AI8+AI9+AI10</f>
        <v>3557815.8859306611</v>
      </c>
      <c r="AJ11" s="24">
        <f t="shared" si="1"/>
        <v>3827621.4114893964</v>
      </c>
      <c r="AK11" s="24">
        <f t="shared" si="1"/>
        <v>4116048.5579084442</v>
      </c>
      <c r="AL11" s="24">
        <f t="shared" si="1"/>
        <v>4424145.3219624525</v>
      </c>
      <c r="AM11" s="24">
        <f t="shared" si="1"/>
        <v>4456716.7270760946</v>
      </c>
      <c r="AN11" s="24">
        <f t="shared" si="1"/>
        <v>4470536.651249107</v>
      </c>
      <c r="AO11" s="24">
        <f t="shared" si="1"/>
        <v>4428111.9892435139</v>
      </c>
      <c r="AP11" s="24">
        <f t="shared" si="1"/>
        <v>4390441.27909109</v>
      </c>
      <c r="AQ11" s="24">
        <f t="shared" si="1"/>
        <v>4356571.2081152592</v>
      </c>
      <c r="AR11" s="24">
        <f t="shared" si="1"/>
        <v>4327337.1229435196</v>
      </c>
      <c r="AS11" s="24">
        <f t="shared" si="1"/>
        <v>4301527.5731103783</v>
      </c>
      <c r="AT11" s="24">
        <f t="shared" si="1"/>
        <v>4279279.5521732243</v>
      </c>
      <c r="AU11" s="24">
        <f t="shared" si="1"/>
        <v>4259786.928533854</v>
      </c>
      <c r="AV11" s="24">
        <f t="shared" si="1"/>
        <v>4243983.4278987627</v>
      </c>
      <c r="AW11" s="24">
        <f t="shared" si="1"/>
        <v>4233521.2229683893</v>
      </c>
      <c r="AX11" s="24">
        <f t="shared" si="1"/>
        <v>4225891.2077605594</v>
      </c>
      <c r="AY11" s="24">
        <f t="shared" si="1"/>
        <v>4220953.2664511595</v>
      </c>
      <c r="AZ11" s="24">
        <f t="shared" si="1"/>
        <v>4218407.5784394396</v>
      </c>
      <c r="BA11" s="24">
        <f t="shared" si="1"/>
        <v>4218110.1050793678</v>
      </c>
      <c r="BB11" s="24">
        <f t="shared" si="1"/>
        <v>4218973.9288701415</v>
      </c>
      <c r="BC11" s="24">
        <f t="shared" si="1"/>
        <v>4222377.9124180414</v>
      </c>
      <c r="BD11" s="24">
        <f t="shared" si="1"/>
        <v>4226767.1101967702</v>
      </c>
      <c r="BE11" s="24">
        <f t="shared" si="1"/>
        <v>4233538.1077047978</v>
      </c>
      <c r="BF11" s="24">
        <f t="shared" si="1"/>
        <v>4242228.1425210275</v>
      </c>
      <c r="BG11" s="24">
        <f t="shared" si="1"/>
        <v>4251592.0591800977</v>
      </c>
      <c r="BH11" s="24">
        <f t="shared" si="1"/>
        <v>4263116.115829506</v>
      </c>
      <c r="BI11" s="24">
        <f t="shared" si="1"/>
        <v>4275807.4616964031</v>
      </c>
      <c r="BJ11" s="24">
        <f t="shared" si="1"/>
        <v>4289632.5934250541</v>
      </c>
      <c r="BK11" s="24">
        <f>SUMPRODUCT((YEAR(EDATE(Controls!$B$6,COLUMN($C$1:$BJ$1)-COLUMN($C$1)))=YEAR(Controls!$B$6)+0)*(COLUMN($C$1:$BJ$1)-COLUMN($C$1)&lt;Controls!$B$7)*$C$11:$BJ$11)</f>
        <v>2961150.4931606827</v>
      </c>
      <c r="BL11" s="24">
        <f>SUMPRODUCT((YEAR(EDATE(Controls!$B$6,COLUMN($C$1:$BJ$1)-COLUMN($C$1)))=YEAR(Controls!$B$6)+1)*(COLUMN($C$1:$BJ$1)-COLUMN($C$1)&lt;Controls!$B$7)*$C$11:$BJ$11)</f>
        <v>13751133.211555524</v>
      </c>
      <c r="BM11" s="24">
        <f>SUMPRODUCT((YEAR(EDATE(Controls!$B$6,COLUMN($C$1:$BJ$1)-COLUMN($C$1)))=YEAR(Controls!$B$6)+2)*(COLUMN($C$1:$BJ$1)-COLUMN($C$1)&lt;Controls!$B$7)*$C$11:$BJ$11)</f>
        <v>36465789.045489579</v>
      </c>
      <c r="BN11" s="24">
        <f>SUMPRODUCT((YEAR(EDATE(Controls!$B$6,COLUMN($C$1:$BJ$1)-COLUMN($C$1)))=YEAR(Controls!$B$6)+3)*(COLUMN($C$1:$BJ$1)-COLUMN($C$1)&lt;Controls!$B$7)*$C$11:$BJ$11)</f>
        <v>0</v>
      </c>
      <c r="BO11" s="24">
        <f>SUMPRODUCT((YEAR(EDATE(Controls!$B$6,COLUMN($C$1:$BJ$1)-COLUMN($C$1)))=YEAR(Controls!$B$6)+4)*(COLUMN($C$1:$BJ$1)-COLUMN($C$1)&lt;Controls!$B$7)*$C$11:$BJ$11)</f>
        <v>0</v>
      </c>
      <c r="BP11" s="24">
        <f>SUMPRODUCT((YEAR(EDATE(Controls!$B$6,COLUMN($C$1:$BJ$1)-COLUMN($C$1)))=YEAR(Controls!$B$6)+5)*(COLUMN($C$1:$BJ$1)-COLUMN($C$1)&lt;Controls!$B$7)*$C$11:$BJ$11)</f>
        <v>0</v>
      </c>
    </row>
    <row r="13" spans="1:68" ht="18" customHeight="1" x14ac:dyDescent="0.35">
      <c r="A13" s="58" t="s">
        <v>288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</row>
    <row r="14" spans="1:68" x14ac:dyDescent="0.35">
      <c r="A14" s="15" t="s">
        <v>289</v>
      </c>
      <c r="B14" s="20" t="s">
        <v>124</v>
      </c>
      <c r="C14" s="24">
        <f>-OpEx!C26</f>
        <v>0</v>
      </c>
      <c r="D14" s="24">
        <f>-OpEx!D26</f>
        <v>0</v>
      </c>
      <c r="E14" s="24">
        <f>-OpEx!E26</f>
        <v>0</v>
      </c>
      <c r="F14" s="24">
        <f>-OpEx!F26</f>
        <v>0</v>
      </c>
      <c r="G14" s="24">
        <f>-OpEx!G26</f>
        <v>0</v>
      </c>
      <c r="H14" s="24">
        <f>-OpEx!H26</f>
        <v>0</v>
      </c>
      <c r="I14" s="24">
        <f>-OpEx!I26</f>
        <v>-5000</v>
      </c>
      <c r="J14" s="24">
        <f>-OpEx!J26</f>
        <v>0</v>
      </c>
      <c r="K14" s="24">
        <f>-OpEx!K26</f>
        <v>0</v>
      </c>
      <c r="L14" s="24">
        <f>-OpEx!L26</f>
        <v>0</v>
      </c>
      <c r="M14" s="24">
        <f>-OpEx!M26</f>
        <v>0</v>
      </c>
      <c r="N14" s="24">
        <f>-OpEx!N26</f>
        <v>0</v>
      </c>
      <c r="O14" s="24">
        <f>-OpEx!O26</f>
        <v>0</v>
      </c>
      <c r="P14" s="24">
        <f>-OpEx!P26</f>
        <v>0</v>
      </c>
      <c r="Q14" s="24">
        <f>-OpEx!Q26</f>
        <v>0</v>
      </c>
      <c r="R14" s="24">
        <f>-OpEx!R26</f>
        <v>0</v>
      </c>
      <c r="S14" s="24">
        <f>-OpEx!S26</f>
        <v>0</v>
      </c>
      <c r="T14" s="24">
        <f>-OpEx!T26</f>
        <v>0</v>
      </c>
      <c r="U14" s="24">
        <f>-OpEx!U26</f>
        <v>0</v>
      </c>
      <c r="V14" s="24">
        <f>-OpEx!V26</f>
        <v>0</v>
      </c>
      <c r="W14" s="24">
        <f>-OpEx!W26</f>
        <v>0</v>
      </c>
      <c r="X14" s="24">
        <f>-OpEx!X26</f>
        <v>0</v>
      </c>
      <c r="Y14" s="24">
        <f>-OpEx!Y26</f>
        <v>0</v>
      </c>
      <c r="Z14" s="24">
        <f>-OpEx!Z26</f>
        <v>0</v>
      </c>
      <c r="AA14" s="24">
        <f>-OpEx!AA26</f>
        <v>0</v>
      </c>
      <c r="AB14" s="24">
        <f>-OpEx!AB26</f>
        <v>0</v>
      </c>
      <c r="AC14" s="24">
        <f>-OpEx!AC26</f>
        <v>0</v>
      </c>
      <c r="AD14" s="24">
        <f>-OpEx!AD26</f>
        <v>0</v>
      </c>
      <c r="AE14" s="24">
        <f>-OpEx!AE26</f>
        <v>0</v>
      </c>
      <c r="AF14" s="24">
        <f>-OpEx!AF26</f>
        <v>0</v>
      </c>
      <c r="AG14" s="24">
        <f>-OpEx!AG26</f>
        <v>0</v>
      </c>
      <c r="AH14" s="24">
        <f>-OpEx!AH26</f>
        <v>0</v>
      </c>
      <c r="AI14" s="24">
        <f>-OpEx!AI26</f>
        <v>0</v>
      </c>
      <c r="AJ14" s="24">
        <f>-OpEx!AJ26</f>
        <v>0</v>
      </c>
      <c r="AK14" s="24">
        <f>-OpEx!AK26</f>
        <v>0</v>
      </c>
      <c r="AL14" s="24">
        <f>-OpEx!AL26</f>
        <v>0</v>
      </c>
      <c r="AM14" s="24">
        <f>-OpEx!AM26</f>
        <v>0</v>
      </c>
      <c r="AN14" s="24">
        <f>-OpEx!AN26</f>
        <v>0</v>
      </c>
      <c r="AO14" s="24">
        <f>-OpEx!AO26</f>
        <v>0</v>
      </c>
      <c r="AP14" s="24">
        <f>-OpEx!AP26</f>
        <v>0</v>
      </c>
      <c r="AQ14" s="24">
        <f>-OpEx!AQ26</f>
        <v>0</v>
      </c>
      <c r="AR14" s="24">
        <f>-OpEx!AR26</f>
        <v>0</v>
      </c>
      <c r="AS14" s="24">
        <f>-OpEx!AS26</f>
        <v>0</v>
      </c>
      <c r="AT14" s="24">
        <f>-OpEx!AT26</f>
        <v>0</v>
      </c>
      <c r="AU14" s="24">
        <f>-OpEx!AU26</f>
        <v>0</v>
      </c>
      <c r="AV14" s="24">
        <f>-OpEx!AV26</f>
        <v>0</v>
      </c>
      <c r="AW14" s="24">
        <f>-OpEx!AW26</f>
        <v>0</v>
      </c>
      <c r="AX14" s="24">
        <f>-OpEx!AX26</f>
        <v>0</v>
      </c>
      <c r="AY14" s="24">
        <f>-OpEx!AY26</f>
        <v>0</v>
      </c>
      <c r="AZ14" s="24">
        <f>-OpEx!AZ26</f>
        <v>0</v>
      </c>
      <c r="BA14" s="24">
        <f>-OpEx!BA26</f>
        <v>0</v>
      </c>
      <c r="BB14" s="24">
        <f>-OpEx!BB26</f>
        <v>0</v>
      </c>
      <c r="BC14" s="24">
        <f>-OpEx!BC26</f>
        <v>0</v>
      </c>
      <c r="BD14" s="24">
        <f>-OpEx!BD26</f>
        <v>0</v>
      </c>
      <c r="BE14" s="24">
        <f>-OpEx!BE26</f>
        <v>0</v>
      </c>
      <c r="BF14" s="24">
        <f>-OpEx!BF26</f>
        <v>0</v>
      </c>
      <c r="BG14" s="24">
        <f>-OpEx!BG26</f>
        <v>0</v>
      </c>
      <c r="BH14" s="24">
        <f>-OpEx!BH26</f>
        <v>0</v>
      </c>
      <c r="BI14" s="24">
        <f>-OpEx!BI26</f>
        <v>0</v>
      </c>
      <c r="BJ14" s="24">
        <f>-OpEx!BJ26</f>
        <v>0</v>
      </c>
    </row>
    <row r="15" spans="1:68" x14ac:dyDescent="0.35">
      <c r="A15" s="6" t="s">
        <v>290</v>
      </c>
      <c r="B15" s="20" t="s">
        <v>124</v>
      </c>
      <c r="C15" s="24">
        <f t="shared" ref="C15:AH15" si="2">C14</f>
        <v>0</v>
      </c>
      <c r="D15" s="24">
        <f t="shared" si="2"/>
        <v>0</v>
      </c>
      <c r="E15" s="24">
        <f t="shared" si="2"/>
        <v>0</v>
      </c>
      <c r="F15" s="24">
        <f t="shared" si="2"/>
        <v>0</v>
      </c>
      <c r="G15" s="24">
        <f t="shared" si="2"/>
        <v>0</v>
      </c>
      <c r="H15" s="24">
        <f t="shared" si="2"/>
        <v>0</v>
      </c>
      <c r="I15" s="24">
        <f t="shared" si="2"/>
        <v>-5000</v>
      </c>
      <c r="J15" s="24">
        <f t="shared" si="2"/>
        <v>0</v>
      </c>
      <c r="K15" s="24">
        <f t="shared" si="2"/>
        <v>0</v>
      </c>
      <c r="L15" s="24">
        <f t="shared" si="2"/>
        <v>0</v>
      </c>
      <c r="M15" s="24">
        <f t="shared" si="2"/>
        <v>0</v>
      </c>
      <c r="N15" s="24">
        <f t="shared" si="2"/>
        <v>0</v>
      </c>
      <c r="O15" s="24">
        <f t="shared" si="2"/>
        <v>0</v>
      </c>
      <c r="P15" s="24">
        <f t="shared" si="2"/>
        <v>0</v>
      </c>
      <c r="Q15" s="24">
        <f t="shared" si="2"/>
        <v>0</v>
      </c>
      <c r="R15" s="24">
        <f t="shared" si="2"/>
        <v>0</v>
      </c>
      <c r="S15" s="24">
        <f t="shared" si="2"/>
        <v>0</v>
      </c>
      <c r="T15" s="24">
        <f t="shared" si="2"/>
        <v>0</v>
      </c>
      <c r="U15" s="24">
        <f t="shared" si="2"/>
        <v>0</v>
      </c>
      <c r="V15" s="24">
        <f t="shared" si="2"/>
        <v>0</v>
      </c>
      <c r="W15" s="24">
        <f t="shared" si="2"/>
        <v>0</v>
      </c>
      <c r="X15" s="24">
        <f t="shared" si="2"/>
        <v>0</v>
      </c>
      <c r="Y15" s="24">
        <f t="shared" si="2"/>
        <v>0</v>
      </c>
      <c r="Z15" s="24">
        <f t="shared" si="2"/>
        <v>0</v>
      </c>
      <c r="AA15" s="24">
        <f t="shared" si="2"/>
        <v>0</v>
      </c>
      <c r="AB15" s="24">
        <f t="shared" si="2"/>
        <v>0</v>
      </c>
      <c r="AC15" s="24">
        <f t="shared" si="2"/>
        <v>0</v>
      </c>
      <c r="AD15" s="24">
        <f t="shared" si="2"/>
        <v>0</v>
      </c>
      <c r="AE15" s="24">
        <f t="shared" si="2"/>
        <v>0</v>
      </c>
      <c r="AF15" s="24">
        <f t="shared" si="2"/>
        <v>0</v>
      </c>
      <c r="AG15" s="24">
        <f t="shared" si="2"/>
        <v>0</v>
      </c>
      <c r="AH15" s="24">
        <f t="shared" si="2"/>
        <v>0</v>
      </c>
      <c r="AI15" s="24">
        <f t="shared" ref="AI15:BJ15" si="3">AI14</f>
        <v>0</v>
      </c>
      <c r="AJ15" s="24">
        <f t="shared" si="3"/>
        <v>0</v>
      </c>
      <c r="AK15" s="24">
        <f t="shared" si="3"/>
        <v>0</v>
      </c>
      <c r="AL15" s="24">
        <f t="shared" si="3"/>
        <v>0</v>
      </c>
      <c r="AM15" s="24">
        <f t="shared" si="3"/>
        <v>0</v>
      </c>
      <c r="AN15" s="24">
        <f t="shared" si="3"/>
        <v>0</v>
      </c>
      <c r="AO15" s="24">
        <f t="shared" si="3"/>
        <v>0</v>
      </c>
      <c r="AP15" s="24">
        <f t="shared" si="3"/>
        <v>0</v>
      </c>
      <c r="AQ15" s="24">
        <f t="shared" si="3"/>
        <v>0</v>
      </c>
      <c r="AR15" s="24">
        <f t="shared" si="3"/>
        <v>0</v>
      </c>
      <c r="AS15" s="24">
        <f t="shared" si="3"/>
        <v>0</v>
      </c>
      <c r="AT15" s="24">
        <f t="shared" si="3"/>
        <v>0</v>
      </c>
      <c r="AU15" s="24">
        <f t="shared" si="3"/>
        <v>0</v>
      </c>
      <c r="AV15" s="24">
        <f t="shared" si="3"/>
        <v>0</v>
      </c>
      <c r="AW15" s="24">
        <f t="shared" si="3"/>
        <v>0</v>
      </c>
      <c r="AX15" s="24">
        <f t="shared" si="3"/>
        <v>0</v>
      </c>
      <c r="AY15" s="24">
        <f t="shared" si="3"/>
        <v>0</v>
      </c>
      <c r="AZ15" s="24">
        <f t="shared" si="3"/>
        <v>0</v>
      </c>
      <c r="BA15" s="24">
        <f t="shared" si="3"/>
        <v>0</v>
      </c>
      <c r="BB15" s="24">
        <f t="shared" si="3"/>
        <v>0</v>
      </c>
      <c r="BC15" s="24">
        <f t="shared" si="3"/>
        <v>0</v>
      </c>
      <c r="BD15" s="24">
        <f t="shared" si="3"/>
        <v>0</v>
      </c>
      <c r="BE15" s="24">
        <f t="shared" si="3"/>
        <v>0</v>
      </c>
      <c r="BF15" s="24">
        <f t="shared" si="3"/>
        <v>0</v>
      </c>
      <c r="BG15" s="24">
        <f t="shared" si="3"/>
        <v>0</v>
      </c>
      <c r="BH15" s="24">
        <f t="shared" si="3"/>
        <v>0</v>
      </c>
      <c r="BI15" s="24">
        <f t="shared" si="3"/>
        <v>0</v>
      </c>
      <c r="BJ15" s="24">
        <f t="shared" si="3"/>
        <v>0</v>
      </c>
      <c r="BK15" s="24">
        <f>SUMPRODUCT((YEAR(EDATE(Controls!$B$6,COLUMN($C$1:$BJ$1)-COLUMN($C$1)))=YEAR(Controls!$B$6)+0)*(COLUMN($C$1:$BJ$1)-COLUMN($C$1)&lt;Controls!$B$7)*$C$15:$BJ$15)</f>
        <v>-5000</v>
      </c>
      <c r="BL15" s="24">
        <f>SUMPRODUCT((YEAR(EDATE(Controls!$B$6,COLUMN($C$1:$BJ$1)-COLUMN($C$1)))=YEAR(Controls!$B$6)+1)*(COLUMN($C$1:$BJ$1)-COLUMN($C$1)&lt;Controls!$B$7)*$C$15:$BJ$15)</f>
        <v>0</v>
      </c>
      <c r="BM15" s="24">
        <f>SUMPRODUCT((YEAR(EDATE(Controls!$B$6,COLUMN($C$1:$BJ$1)-COLUMN($C$1)))=YEAR(Controls!$B$6)+2)*(COLUMN($C$1:$BJ$1)-COLUMN($C$1)&lt;Controls!$B$7)*$C$15:$BJ$15)</f>
        <v>0</v>
      </c>
      <c r="BN15" s="24">
        <f>SUMPRODUCT((YEAR(EDATE(Controls!$B$6,COLUMN($C$1:$BJ$1)-COLUMN($C$1)))=YEAR(Controls!$B$6)+3)*(COLUMN($C$1:$BJ$1)-COLUMN($C$1)&lt;Controls!$B$7)*$C$15:$BJ$15)</f>
        <v>0</v>
      </c>
      <c r="BO15" s="24">
        <f>SUMPRODUCT((YEAR(EDATE(Controls!$B$6,COLUMN($C$1:$BJ$1)-COLUMN($C$1)))=YEAR(Controls!$B$6)+4)*(COLUMN($C$1:$BJ$1)-COLUMN($C$1)&lt;Controls!$B$7)*$C$15:$BJ$15)</f>
        <v>0</v>
      </c>
      <c r="BP15" s="24">
        <f>SUMPRODUCT((YEAR(EDATE(Controls!$B$6,COLUMN($C$1:$BJ$1)-COLUMN($C$1)))=YEAR(Controls!$B$6)+5)*(COLUMN($C$1:$BJ$1)-COLUMN($C$1)&lt;Controls!$B$7)*$C$15:$BJ$15)</f>
        <v>0</v>
      </c>
    </row>
    <row r="17" spans="1:68" ht="18" customHeight="1" x14ac:dyDescent="0.35">
      <c r="A17" s="58" t="s">
        <v>291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spans="1:68" x14ac:dyDescent="0.35">
      <c r="A18" s="6" t="s">
        <v>292</v>
      </c>
      <c r="B18" s="20" t="s">
        <v>124</v>
      </c>
      <c r="C18" s="24">
        <f t="shared" ref="C18:AH18" si="4">C11+C15</f>
        <v>-6275.8052000000025</v>
      </c>
      <c r="D18" s="24">
        <f t="shared" si="4"/>
        <v>3003.295982399999</v>
      </c>
      <c r="E18" s="24">
        <f t="shared" si="4"/>
        <v>51463.948626819198</v>
      </c>
      <c r="F18" s="24">
        <f t="shared" si="4"/>
        <v>101265.19363746321</v>
      </c>
      <c r="G18" s="24">
        <f t="shared" si="4"/>
        <v>156227.31290289227</v>
      </c>
      <c r="H18" s="24">
        <f t="shared" si="4"/>
        <v>209061.31330464291</v>
      </c>
      <c r="I18" s="24">
        <f t="shared" si="4"/>
        <v>258221.58165386465</v>
      </c>
      <c r="J18" s="24">
        <f t="shared" si="4"/>
        <v>315364.6519124459</v>
      </c>
      <c r="K18" s="24">
        <f t="shared" si="4"/>
        <v>371872.53970582923</v>
      </c>
      <c r="L18" s="24">
        <f t="shared" si="4"/>
        <v>433657.55737473909</v>
      </c>
      <c r="M18" s="24">
        <f t="shared" si="4"/>
        <v>496988.54107489088</v>
      </c>
      <c r="N18" s="24">
        <f t="shared" si="4"/>
        <v>565300.36218469532</v>
      </c>
      <c r="O18" s="24">
        <f t="shared" si="4"/>
        <v>631470.48131150356</v>
      </c>
      <c r="P18" s="24">
        <f t="shared" si="4"/>
        <v>701526.71576554608</v>
      </c>
      <c r="Q18" s="24">
        <f t="shared" si="4"/>
        <v>782639.74546027463</v>
      </c>
      <c r="R18" s="24">
        <f t="shared" si="4"/>
        <v>869768.09425333783</v>
      </c>
      <c r="S18" s="24">
        <f t="shared" si="4"/>
        <v>958827.7598899072</v>
      </c>
      <c r="T18" s="24">
        <f t="shared" si="4"/>
        <v>1054217.9196857312</v>
      </c>
      <c r="U18" s="24">
        <f t="shared" si="4"/>
        <v>1156046.9066864541</v>
      </c>
      <c r="V18" s="24">
        <f t="shared" si="4"/>
        <v>1267614.1540760207</v>
      </c>
      <c r="W18" s="24">
        <f t="shared" si="4"/>
        <v>1386633.7375363167</v>
      </c>
      <c r="X18" s="24">
        <f t="shared" si="4"/>
        <v>1512004.619608273</v>
      </c>
      <c r="Y18" s="24">
        <f t="shared" si="4"/>
        <v>1645102.419740764</v>
      </c>
      <c r="Z18" s="24">
        <f t="shared" si="4"/>
        <v>1785280.6575413942</v>
      </c>
      <c r="AA18" s="24">
        <f t="shared" si="4"/>
        <v>1927447.7523266179</v>
      </c>
      <c r="AB18" s="24">
        <f t="shared" si="4"/>
        <v>2078096.3211785688</v>
      </c>
      <c r="AC18" s="24">
        <f t="shared" si="4"/>
        <v>2253076.2135018976</v>
      </c>
      <c r="AD18" s="24">
        <f t="shared" si="4"/>
        <v>2437147.3754458083</v>
      </c>
      <c r="AE18" s="24">
        <f t="shared" si="4"/>
        <v>2633252.0680751828</v>
      </c>
      <c r="AF18" s="24">
        <f t="shared" si="4"/>
        <v>2842708.7982401913</v>
      </c>
      <c r="AG18" s="24">
        <f t="shared" si="4"/>
        <v>3065402.9228006275</v>
      </c>
      <c r="AH18" s="24">
        <f t="shared" si="4"/>
        <v>3303026.4166297275</v>
      </c>
      <c r="AI18" s="24">
        <f t="shared" ref="AI18:BJ18" si="5">AI11+AI15</f>
        <v>3557815.8859306611</v>
      </c>
      <c r="AJ18" s="24">
        <f t="shared" si="5"/>
        <v>3827621.4114893964</v>
      </c>
      <c r="AK18" s="24">
        <f t="shared" si="5"/>
        <v>4116048.5579084442</v>
      </c>
      <c r="AL18" s="24">
        <f t="shared" si="5"/>
        <v>4424145.3219624525</v>
      </c>
      <c r="AM18" s="24">
        <f t="shared" si="5"/>
        <v>4456716.7270760946</v>
      </c>
      <c r="AN18" s="24">
        <f t="shared" si="5"/>
        <v>4470536.651249107</v>
      </c>
      <c r="AO18" s="24">
        <f t="shared" si="5"/>
        <v>4428111.9892435139</v>
      </c>
      <c r="AP18" s="24">
        <f t="shared" si="5"/>
        <v>4390441.27909109</v>
      </c>
      <c r="AQ18" s="24">
        <f t="shared" si="5"/>
        <v>4356571.2081152592</v>
      </c>
      <c r="AR18" s="24">
        <f t="shared" si="5"/>
        <v>4327337.1229435196</v>
      </c>
      <c r="AS18" s="24">
        <f t="shared" si="5"/>
        <v>4301527.5731103783</v>
      </c>
      <c r="AT18" s="24">
        <f t="shared" si="5"/>
        <v>4279279.5521732243</v>
      </c>
      <c r="AU18" s="24">
        <f t="shared" si="5"/>
        <v>4259786.928533854</v>
      </c>
      <c r="AV18" s="24">
        <f t="shared" si="5"/>
        <v>4243983.4278987627</v>
      </c>
      <c r="AW18" s="24">
        <f t="shared" si="5"/>
        <v>4233521.2229683893</v>
      </c>
      <c r="AX18" s="24">
        <f t="shared" si="5"/>
        <v>4225891.2077605594</v>
      </c>
      <c r="AY18" s="24">
        <f t="shared" si="5"/>
        <v>4220953.2664511595</v>
      </c>
      <c r="AZ18" s="24">
        <f t="shared" si="5"/>
        <v>4218407.5784394396</v>
      </c>
      <c r="BA18" s="24">
        <f t="shared" si="5"/>
        <v>4218110.1050793678</v>
      </c>
      <c r="BB18" s="24">
        <f t="shared" si="5"/>
        <v>4218973.9288701415</v>
      </c>
      <c r="BC18" s="24">
        <f t="shared" si="5"/>
        <v>4222377.9124180414</v>
      </c>
      <c r="BD18" s="24">
        <f t="shared" si="5"/>
        <v>4226767.1101967702</v>
      </c>
      <c r="BE18" s="24">
        <f t="shared" si="5"/>
        <v>4233538.1077047978</v>
      </c>
      <c r="BF18" s="24">
        <f t="shared" si="5"/>
        <v>4242228.1425210275</v>
      </c>
      <c r="BG18" s="24">
        <f t="shared" si="5"/>
        <v>4251592.0591800977</v>
      </c>
      <c r="BH18" s="24">
        <f t="shared" si="5"/>
        <v>4263116.115829506</v>
      </c>
      <c r="BI18" s="24">
        <f t="shared" si="5"/>
        <v>4275807.4616964031</v>
      </c>
      <c r="BJ18" s="24">
        <f t="shared" si="5"/>
        <v>4289632.5934250541</v>
      </c>
      <c r="BK18" s="24">
        <f>SUMPRODUCT((YEAR(EDATE(Controls!$B$6,COLUMN($C$1:$BJ$1)-COLUMN($C$1)))=YEAR(Controls!$B$6)+0)*(COLUMN($C$1:$BJ$1)-COLUMN($C$1)&lt;Controls!$B$7)*$C$18:$BJ$18)</f>
        <v>2956150.4931606827</v>
      </c>
      <c r="BL18" s="24">
        <f>SUMPRODUCT((YEAR(EDATE(Controls!$B$6,COLUMN($C$1:$BJ$1)-COLUMN($C$1)))=YEAR(Controls!$B$6)+1)*(COLUMN($C$1:$BJ$1)-COLUMN($C$1)&lt;Controls!$B$7)*$C$18:$BJ$18)</f>
        <v>13751133.211555524</v>
      </c>
      <c r="BM18" s="24">
        <f>SUMPRODUCT((YEAR(EDATE(Controls!$B$6,COLUMN($C$1:$BJ$1)-COLUMN($C$1)))=YEAR(Controls!$B$6)+2)*(COLUMN($C$1:$BJ$1)-COLUMN($C$1)&lt;Controls!$B$7)*$C$18:$BJ$18)</f>
        <v>36465789.045489579</v>
      </c>
      <c r="BN18" s="24">
        <f>SUMPRODUCT((YEAR(EDATE(Controls!$B$6,COLUMN($C$1:$BJ$1)-COLUMN($C$1)))=YEAR(Controls!$B$6)+3)*(COLUMN($C$1:$BJ$1)-COLUMN($C$1)&lt;Controls!$B$7)*$C$18:$BJ$18)</f>
        <v>0</v>
      </c>
      <c r="BO18" s="24">
        <f>SUMPRODUCT((YEAR(EDATE(Controls!$B$6,COLUMN($C$1:$BJ$1)-COLUMN($C$1)))=YEAR(Controls!$B$6)+4)*(COLUMN($C$1:$BJ$1)-COLUMN($C$1)&lt;Controls!$B$7)*$C$18:$BJ$18)</f>
        <v>0</v>
      </c>
      <c r="BP18" s="24">
        <f>SUMPRODUCT((YEAR(EDATE(Controls!$B$6,COLUMN($C$1:$BJ$1)-COLUMN($C$1)))=YEAR(Controls!$B$6)+5)*(COLUMN($C$1:$BJ$1)-COLUMN($C$1)&lt;Controls!$B$7)*$C$18:$BJ$18)</f>
        <v>0</v>
      </c>
    </row>
    <row r="19" spans="1:68" x14ac:dyDescent="0.35">
      <c r="A19" s="15" t="s">
        <v>293</v>
      </c>
      <c r="B19" s="20" t="s">
        <v>124</v>
      </c>
      <c r="C19" s="24">
        <f t="shared" ref="C19:AH19" si="6">IF(C18&lt;0,-C18,0)</f>
        <v>6275.8052000000025</v>
      </c>
      <c r="D19" s="24">
        <f t="shared" si="6"/>
        <v>0</v>
      </c>
      <c r="E19" s="24">
        <f t="shared" si="6"/>
        <v>0</v>
      </c>
      <c r="F19" s="24">
        <f t="shared" si="6"/>
        <v>0</v>
      </c>
      <c r="G19" s="24">
        <f t="shared" si="6"/>
        <v>0</v>
      </c>
      <c r="H19" s="24">
        <f t="shared" si="6"/>
        <v>0</v>
      </c>
      <c r="I19" s="24">
        <f t="shared" si="6"/>
        <v>0</v>
      </c>
      <c r="J19" s="24">
        <f t="shared" si="6"/>
        <v>0</v>
      </c>
      <c r="K19" s="24">
        <f t="shared" si="6"/>
        <v>0</v>
      </c>
      <c r="L19" s="24">
        <f t="shared" si="6"/>
        <v>0</v>
      </c>
      <c r="M19" s="24">
        <f t="shared" si="6"/>
        <v>0</v>
      </c>
      <c r="N19" s="24">
        <f t="shared" si="6"/>
        <v>0</v>
      </c>
      <c r="O19" s="24">
        <f t="shared" si="6"/>
        <v>0</v>
      </c>
      <c r="P19" s="24">
        <f t="shared" si="6"/>
        <v>0</v>
      </c>
      <c r="Q19" s="24">
        <f t="shared" si="6"/>
        <v>0</v>
      </c>
      <c r="R19" s="24">
        <f t="shared" si="6"/>
        <v>0</v>
      </c>
      <c r="S19" s="24">
        <f t="shared" si="6"/>
        <v>0</v>
      </c>
      <c r="T19" s="24">
        <f t="shared" si="6"/>
        <v>0</v>
      </c>
      <c r="U19" s="24">
        <f t="shared" si="6"/>
        <v>0</v>
      </c>
      <c r="V19" s="24">
        <f t="shared" si="6"/>
        <v>0</v>
      </c>
      <c r="W19" s="24">
        <f t="shared" si="6"/>
        <v>0</v>
      </c>
      <c r="X19" s="24">
        <f t="shared" si="6"/>
        <v>0</v>
      </c>
      <c r="Y19" s="24">
        <f t="shared" si="6"/>
        <v>0</v>
      </c>
      <c r="Z19" s="24">
        <f t="shared" si="6"/>
        <v>0</v>
      </c>
      <c r="AA19" s="24">
        <f t="shared" si="6"/>
        <v>0</v>
      </c>
      <c r="AB19" s="24">
        <f t="shared" si="6"/>
        <v>0</v>
      </c>
      <c r="AC19" s="24">
        <f t="shared" si="6"/>
        <v>0</v>
      </c>
      <c r="AD19" s="24">
        <f t="shared" si="6"/>
        <v>0</v>
      </c>
      <c r="AE19" s="24">
        <f t="shared" si="6"/>
        <v>0</v>
      </c>
      <c r="AF19" s="24">
        <f t="shared" si="6"/>
        <v>0</v>
      </c>
      <c r="AG19" s="24">
        <f t="shared" si="6"/>
        <v>0</v>
      </c>
      <c r="AH19" s="24">
        <f t="shared" si="6"/>
        <v>0</v>
      </c>
      <c r="AI19" s="24">
        <f t="shared" ref="AI19:BJ19" si="7">IF(AI18&lt;0,-AI18,0)</f>
        <v>0</v>
      </c>
      <c r="AJ19" s="24">
        <f t="shared" si="7"/>
        <v>0</v>
      </c>
      <c r="AK19" s="24">
        <f t="shared" si="7"/>
        <v>0</v>
      </c>
      <c r="AL19" s="24">
        <f t="shared" si="7"/>
        <v>0</v>
      </c>
      <c r="AM19" s="24">
        <f t="shared" si="7"/>
        <v>0</v>
      </c>
      <c r="AN19" s="24">
        <f t="shared" si="7"/>
        <v>0</v>
      </c>
      <c r="AO19" s="24">
        <f t="shared" si="7"/>
        <v>0</v>
      </c>
      <c r="AP19" s="24">
        <f t="shared" si="7"/>
        <v>0</v>
      </c>
      <c r="AQ19" s="24">
        <f t="shared" si="7"/>
        <v>0</v>
      </c>
      <c r="AR19" s="24">
        <f t="shared" si="7"/>
        <v>0</v>
      </c>
      <c r="AS19" s="24">
        <f t="shared" si="7"/>
        <v>0</v>
      </c>
      <c r="AT19" s="24">
        <f t="shared" si="7"/>
        <v>0</v>
      </c>
      <c r="AU19" s="24">
        <f t="shared" si="7"/>
        <v>0</v>
      </c>
      <c r="AV19" s="24">
        <f t="shared" si="7"/>
        <v>0</v>
      </c>
      <c r="AW19" s="24">
        <f t="shared" si="7"/>
        <v>0</v>
      </c>
      <c r="AX19" s="24">
        <f t="shared" si="7"/>
        <v>0</v>
      </c>
      <c r="AY19" s="24">
        <f t="shared" si="7"/>
        <v>0</v>
      </c>
      <c r="AZ19" s="24">
        <f t="shared" si="7"/>
        <v>0</v>
      </c>
      <c r="BA19" s="24">
        <f t="shared" si="7"/>
        <v>0</v>
      </c>
      <c r="BB19" s="24">
        <f t="shared" si="7"/>
        <v>0</v>
      </c>
      <c r="BC19" s="24">
        <f t="shared" si="7"/>
        <v>0</v>
      </c>
      <c r="BD19" s="24">
        <f t="shared" si="7"/>
        <v>0</v>
      </c>
      <c r="BE19" s="24">
        <f t="shared" si="7"/>
        <v>0</v>
      </c>
      <c r="BF19" s="24">
        <f t="shared" si="7"/>
        <v>0</v>
      </c>
      <c r="BG19" s="24">
        <f t="shared" si="7"/>
        <v>0</v>
      </c>
      <c r="BH19" s="24">
        <f t="shared" si="7"/>
        <v>0</v>
      </c>
      <c r="BI19" s="24">
        <f t="shared" si="7"/>
        <v>0</v>
      </c>
      <c r="BJ19" s="24">
        <f t="shared" si="7"/>
        <v>0</v>
      </c>
      <c r="BK19" s="24">
        <f>SUMPRODUCT((YEAR(EDATE(Controls!$B$6,COLUMN($C$1:$BJ$1)-COLUMN($C$1)))=YEAR(Controls!$B$6)+0)*(COLUMN($C$1:$BJ$1)-COLUMN($C$1)&lt;Controls!$B$7)*$C$19:$BJ$19)</f>
        <v>6275.8052000000025</v>
      </c>
      <c r="BL19" s="24">
        <f>SUMPRODUCT((YEAR(EDATE(Controls!$B$6,COLUMN($C$1:$BJ$1)-COLUMN($C$1)))=YEAR(Controls!$B$6)+1)*(COLUMN($C$1:$BJ$1)-COLUMN($C$1)&lt;Controls!$B$7)*$C$19:$BJ$19)</f>
        <v>0</v>
      </c>
      <c r="BM19" s="24">
        <f>SUMPRODUCT((YEAR(EDATE(Controls!$B$6,COLUMN($C$1:$BJ$1)-COLUMN($C$1)))=YEAR(Controls!$B$6)+2)*(COLUMN($C$1:$BJ$1)-COLUMN($C$1)&lt;Controls!$B$7)*$C$19:$BJ$19)</f>
        <v>0</v>
      </c>
      <c r="BN19" s="24">
        <f>SUMPRODUCT((YEAR(EDATE(Controls!$B$6,COLUMN($C$1:$BJ$1)-COLUMN($C$1)))=YEAR(Controls!$B$6)+3)*(COLUMN($C$1:$BJ$1)-COLUMN($C$1)&lt;Controls!$B$7)*$C$19:$BJ$19)</f>
        <v>0</v>
      </c>
      <c r="BO19" s="24">
        <f>SUMPRODUCT((YEAR(EDATE(Controls!$B$6,COLUMN($C$1:$BJ$1)-COLUMN($C$1)))=YEAR(Controls!$B$6)+4)*(COLUMN($C$1:$BJ$1)-COLUMN($C$1)&lt;Controls!$B$7)*$C$19:$BJ$19)</f>
        <v>0</v>
      </c>
      <c r="BP19" s="24">
        <f>SUMPRODUCT((YEAR(EDATE(Controls!$B$6,COLUMN($C$1:$BJ$1)-COLUMN($C$1)))=YEAR(Controls!$B$6)+5)*(COLUMN($C$1:$BJ$1)-COLUMN($C$1)&lt;Controls!$B$7)*$C$19:$BJ$19)</f>
        <v>0</v>
      </c>
    </row>
    <row r="20" spans="1:68" x14ac:dyDescent="0.35">
      <c r="A20" s="15" t="s">
        <v>294</v>
      </c>
      <c r="B20" s="20" t="s">
        <v>110</v>
      </c>
      <c r="C20" s="27">
        <f>IFERROR(C18/'P&amp;L'!C8,0)</f>
        <v>-0.4583859551325849</v>
      </c>
      <c r="D20" s="27">
        <f>IFERROR(D18/'P&amp;L'!D8,0)</f>
        <v>0.11453314370655657</v>
      </c>
      <c r="E20" s="27">
        <f>IFERROR(E18/'P&amp;L'!E8,0)</f>
        <v>1.222010895140502</v>
      </c>
      <c r="F20" s="27">
        <f>IFERROR(F18/'P&amp;L'!F8,0)</f>
        <v>1.6525974553415816</v>
      </c>
      <c r="G20" s="27">
        <f>IFERROR(G18/'P&amp;L'!G8,0)</f>
        <v>1.8577985261983572</v>
      </c>
      <c r="H20" s="27">
        <f>IFERROR(H18/'P&amp;L'!H8,0)</f>
        <v>1.8965367844476169</v>
      </c>
      <c r="I20" s="27">
        <f>IFERROR(I18/'P&amp;L'!I8,0)</f>
        <v>1.8457410501131468</v>
      </c>
      <c r="J20" s="27">
        <f>IFERROR(J18/'P&amp;L'!J8,0)</f>
        <v>1.828520786659634</v>
      </c>
      <c r="K20" s="27">
        <f>IFERROR(K18/'P&amp;L'!K8,0)</f>
        <v>1.7841042460733645</v>
      </c>
      <c r="L20" s="27">
        <f>IFERROR(L18/'P&amp;L'!L8,0)</f>
        <v>1.7475346314052906</v>
      </c>
      <c r="M20" s="27">
        <f>IFERROR(M18/'P&amp;L'!M8,0)</f>
        <v>1.7060062371498281</v>
      </c>
      <c r="N20" s="27">
        <f>IFERROR(N18/'P&amp;L'!N8,0)</f>
        <v>1.6731508864972919</v>
      </c>
      <c r="O20" s="27">
        <f>IFERROR(O18/'P&amp;L'!O8,0)</f>
        <v>1.6258531093426467</v>
      </c>
      <c r="P20" s="27">
        <f>IFERROR(P18/'P&amp;L'!P8,0)</f>
        <v>1.5783446026303649</v>
      </c>
      <c r="Q20" s="27">
        <f>IFERROR(Q18/'P&amp;L'!Q8,0)</f>
        <v>1.5542694344400967</v>
      </c>
      <c r="R20" s="27">
        <f>IFERROR(R18/'P&amp;L'!R8,0)</f>
        <v>1.5308595567656091</v>
      </c>
      <c r="S20" s="27">
        <f>IFERROR(S18/'P&amp;L'!S8,0)</f>
        <v>1.5074678576699434</v>
      </c>
      <c r="T20" s="27">
        <f>IFERROR(T18/'P&amp;L'!T8,0)</f>
        <v>1.487345396365934</v>
      </c>
      <c r="U20" s="27">
        <f>IFERROR(U18/'P&amp;L'!U8,0)</f>
        <v>1.4680618638408856</v>
      </c>
      <c r="V20" s="27">
        <f>IFERROR(V18/'P&amp;L'!V8,0)</f>
        <v>1.4552341377876765</v>
      </c>
      <c r="W20" s="27">
        <f>IFERROR(W18/'P&amp;L'!W8,0)</f>
        <v>1.442001816245073</v>
      </c>
      <c r="X20" s="27">
        <f>IFERROR(X18/'P&amp;L'!X8,0)</f>
        <v>1.4300257964356646</v>
      </c>
      <c r="Y20" s="27">
        <f>IFERROR(Y18/'P&amp;L'!Y8,0)</f>
        <v>1.4174475792247339</v>
      </c>
      <c r="Z20" s="27">
        <f>IFERROR(Z18/'P&amp;L'!Z8,0)</f>
        <v>1.4061295793784647</v>
      </c>
      <c r="AA20" s="27">
        <f>IFERROR(AA18/'P&amp;L'!AA8,0)</f>
        <v>1.3904928368948941</v>
      </c>
      <c r="AB20" s="27">
        <f>IFERROR(AB18/'P&amp;L'!AB8,0)</f>
        <v>1.3745126686454292</v>
      </c>
      <c r="AC20" s="27">
        <f>IFERROR(AC18/'P&amp;L'!AC8,0)</f>
        <v>1.3692878352544862</v>
      </c>
      <c r="AD20" s="27">
        <f>IFERROR(AD18/'P&amp;L'!AD8,0)</f>
        <v>1.3624186247580188</v>
      </c>
      <c r="AE20" s="27">
        <f>IFERROR(AE18/'P&amp;L'!AE8,0)</f>
        <v>1.3567076784196117</v>
      </c>
      <c r="AF20" s="27">
        <f>IFERROR(AF18/'P&amp;L'!AF8,0)</f>
        <v>1.3509722238833211</v>
      </c>
      <c r="AG20" s="27">
        <f>IFERROR(AG18/'P&amp;L'!AG8,0)</f>
        <v>1.3459900148973236</v>
      </c>
      <c r="AH20" s="27">
        <f>IFERROR(AH18/'P&amp;L'!AH8,0)</f>
        <v>1.3409068510806963</v>
      </c>
      <c r="AI20" s="27">
        <f>IFERROR(AI18/'P&amp;L'!AI8,0)</f>
        <v>1.3371546868722757</v>
      </c>
      <c r="AJ20" s="27">
        <f>IFERROR(AJ18/'P&amp;L'!AJ8,0)</f>
        <v>1.3326630832881972</v>
      </c>
      <c r="AK20" s="27">
        <f>IFERROR(AK18/'P&amp;L'!AK8,0)</f>
        <v>1.3291286691690734</v>
      </c>
      <c r="AL20" s="27">
        <f>IFERROR(AL18/'P&amp;L'!AL8,0)</f>
        <v>1.3259601997971329</v>
      </c>
      <c r="AM20" s="27">
        <f>IFERROR(AM18/'P&amp;L'!AM8,0)</f>
        <v>1.2660869305019304</v>
      </c>
      <c r="AN20" s="27">
        <f>IFERROR(AN18/'P&amp;L'!AN8,0)</f>
        <v>1.2123372401893286</v>
      </c>
      <c r="AO20" s="27">
        <f>IFERROR(AO18/'P&amp;L'!AO8,0)</f>
        <v>1.1535526528958224</v>
      </c>
      <c r="AP20" s="27">
        <f>IFERROR(AP18/'P&amp;L'!AP8,0)</f>
        <v>1.1040081076311905</v>
      </c>
      <c r="AQ20" s="27">
        <f>IFERROR(AQ18/'P&amp;L'!AQ8,0)</f>
        <v>1.0622143056229136</v>
      </c>
      <c r="AR20" s="27">
        <f>IFERROR(AR18/'P&amp;L'!AR8,0)</f>
        <v>1.026473437781054</v>
      </c>
      <c r="AS20" s="27">
        <f>IFERROR(AS18/'P&amp;L'!AS8,0)</f>
        <v>0.99596564953588329</v>
      </c>
      <c r="AT20" s="27">
        <f>IFERROR(AT18/'P&amp;L'!AT8,0)</f>
        <v>0.96948716636972498</v>
      </c>
      <c r="AU20" s="27">
        <f>IFERROR(AU18/'P&amp;L'!AU8,0)</f>
        <v>0.94666917637267156</v>
      </c>
      <c r="AV20" s="27">
        <f>IFERROR(AV18/'P&amp;L'!AV8,0)</f>
        <v>0.92678254559895434</v>
      </c>
      <c r="AW20" s="27">
        <f>IFERROR(AW18/'P&amp;L'!AW8,0)</f>
        <v>0.91012823720489666</v>
      </c>
      <c r="AX20" s="27">
        <f>IFERROR(AX18/'P&amp;L'!AX8,0)</f>
        <v>0.89564225918668694</v>
      </c>
      <c r="AY20" s="27">
        <f>IFERROR(AY18/'P&amp;L'!AY8,0)</f>
        <v>0.88302796190426269</v>
      </c>
      <c r="AZ20" s="27">
        <f>IFERROR(AZ18/'P&amp;L'!AZ8,0)</f>
        <v>0.87186315199377495</v>
      </c>
      <c r="BA20" s="27">
        <f>IFERROR(BA18/'P&amp;L'!BA8,0)</f>
        <v>0.86210961901834204</v>
      </c>
      <c r="BB20" s="27">
        <f>IFERROR(BB18/'P&amp;L'!BB8,0)</f>
        <v>0.85359309855138465</v>
      </c>
      <c r="BC20" s="27">
        <f>IFERROR(BC18/'P&amp;L'!BC8,0)</f>
        <v>0.84609963250176212</v>
      </c>
      <c r="BD20" s="27">
        <f>IFERROR(BD18/'P&amp;L'!BD8,0)</f>
        <v>0.83957308076143666</v>
      </c>
      <c r="BE20" s="27">
        <f>IFERROR(BE18/'P&amp;L'!BE8,0)</f>
        <v>0.83384392950799335</v>
      </c>
      <c r="BF20" s="27">
        <f>IFERROR(BF18/'P&amp;L'!BF8,0)</f>
        <v>0.82890410861046637</v>
      </c>
      <c r="BG20" s="27">
        <f>IFERROR(BG18/'P&amp;L'!BG8,0)</f>
        <v>0.82462956527827835</v>
      </c>
      <c r="BH20" s="27">
        <f>IFERROR(BH18/'P&amp;L'!BH8,0)</f>
        <v>0.82090244690614467</v>
      </c>
      <c r="BI20" s="27">
        <f>IFERROR(BI18/'P&amp;L'!BI8,0)</f>
        <v>0.81765842704451053</v>
      </c>
      <c r="BJ20" s="27">
        <f>IFERROR(BJ18/'P&amp;L'!BJ8,0)</f>
        <v>0.81498125515323949</v>
      </c>
    </row>
    <row r="22" spans="1:68" ht="18" customHeight="1" x14ac:dyDescent="0.35">
      <c r="A22" s="58" t="s">
        <v>295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</row>
    <row r="23" spans="1:68" x14ac:dyDescent="0.35">
      <c r="A23" s="15" t="s">
        <v>296</v>
      </c>
      <c r="B23" s="20" t="s">
        <v>124</v>
      </c>
      <c r="C23" s="24">
        <f>Controls!$B$20</f>
        <v>0</v>
      </c>
      <c r="D23" s="24">
        <f>0</f>
        <v>0</v>
      </c>
      <c r="E23" s="24">
        <f>0</f>
        <v>0</v>
      </c>
      <c r="F23" s="24">
        <f>0</f>
        <v>0</v>
      </c>
      <c r="G23" s="24">
        <f>0</f>
        <v>0</v>
      </c>
      <c r="H23" s="24">
        <f>0</f>
        <v>0</v>
      </c>
      <c r="I23" s="24">
        <f>0</f>
        <v>0</v>
      </c>
      <c r="J23" s="24">
        <f>0</f>
        <v>0</v>
      </c>
      <c r="K23" s="24">
        <f>0</f>
        <v>0</v>
      </c>
      <c r="L23" s="24">
        <f>0</f>
        <v>0</v>
      </c>
      <c r="M23" s="24">
        <f>0</f>
        <v>0</v>
      </c>
      <c r="N23" s="24">
        <f>0</f>
        <v>0</v>
      </c>
      <c r="O23" s="24">
        <f>0</f>
        <v>0</v>
      </c>
      <c r="P23" s="24">
        <f>0</f>
        <v>0</v>
      </c>
      <c r="Q23" s="24">
        <f>0</f>
        <v>0</v>
      </c>
      <c r="R23" s="24">
        <f>0</f>
        <v>0</v>
      </c>
      <c r="S23" s="24">
        <f>0</f>
        <v>0</v>
      </c>
      <c r="T23" s="24">
        <f>0</f>
        <v>0</v>
      </c>
      <c r="U23" s="24">
        <f>0</f>
        <v>0</v>
      </c>
      <c r="V23" s="24">
        <f>0</f>
        <v>0</v>
      </c>
      <c r="W23" s="24">
        <f>0</f>
        <v>0</v>
      </c>
      <c r="X23" s="24">
        <f>0</f>
        <v>0</v>
      </c>
      <c r="Y23" s="24">
        <f>0</f>
        <v>0</v>
      </c>
      <c r="Z23" s="24">
        <f>0</f>
        <v>0</v>
      </c>
      <c r="AA23" s="24">
        <f>0</f>
        <v>0</v>
      </c>
      <c r="AB23" s="24">
        <f>0</f>
        <v>0</v>
      </c>
      <c r="AC23" s="24">
        <f>0</f>
        <v>0</v>
      </c>
      <c r="AD23" s="24">
        <f>0</f>
        <v>0</v>
      </c>
      <c r="AE23" s="24">
        <f>0</f>
        <v>0</v>
      </c>
      <c r="AF23" s="24">
        <f>0</f>
        <v>0</v>
      </c>
      <c r="AG23" s="24">
        <f>0</f>
        <v>0</v>
      </c>
      <c r="AH23" s="24">
        <f>0</f>
        <v>0</v>
      </c>
      <c r="AI23" s="24">
        <f>0</f>
        <v>0</v>
      </c>
      <c r="AJ23" s="24">
        <f>0</f>
        <v>0</v>
      </c>
      <c r="AK23" s="24">
        <f>0</f>
        <v>0</v>
      </c>
      <c r="AL23" s="24">
        <f>0</f>
        <v>0</v>
      </c>
      <c r="AM23" s="24">
        <f>0</f>
        <v>0</v>
      </c>
      <c r="AN23" s="24">
        <f>0</f>
        <v>0</v>
      </c>
      <c r="AO23" s="24">
        <f>0</f>
        <v>0</v>
      </c>
      <c r="AP23" s="24">
        <f>0</f>
        <v>0</v>
      </c>
      <c r="AQ23" s="24">
        <f>0</f>
        <v>0</v>
      </c>
      <c r="AR23" s="24">
        <f>0</f>
        <v>0</v>
      </c>
      <c r="AS23" s="24">
        <f>0</f>
        <v>0</v>
      </c>
      <c r="AT23" s="24">
        <f>0</f>
        <v>0</v>
      </c>
      <c r="AU23" s="24">
        <f>0</f>
        <v>0</v>
      </c>
      <c r="AV23" s="24">
        <f>0</f>
        <v>0</v>
      </c>
      <c r="AW23" s="24">
        <f>0</f>
        <v>0</v>
      </c>
      <c r="AX23" s="24">
        <f>0</f>
        <v>0</v>
      </c>
      <c r="AY23" s="24">
        <f>0</f>
        <v>0</v>
      </c>
      <c r="AZ23" s="24">
        <f>0</f>
        <v>0</v>
      </c>
      <c r="BA23" s="24">
        <f>0</f>
        <v>0</v>
      </c>
      <c r="BB23" s="24">
        <f>0</f>
        <v>0</v>
      </c>
      <c r="BC23" s="24">
        <f>0</f>
        <v>0</v>
      </c>
      <c r="BD23" s="24">
        <f>0</f>
        <v>0</v>
      </c>
      <c r="BE23" s="24">
        <f>0</f>
        <v>0</v>
      </c>
      <c r="BF23" s="24">
        <f>0</f>
        <v>0</v>
      </c>
      <c r="BG23" s="24">
        <f>0</f>
        <v>0</v>
      </c>
      <c r="BH23" s="24">
        <f>0</f>
        <v>0</v>
      </c>
      <c r="BI23" s="24">
        <f>0</f>
        <v>0</v>
      </c>
      <c r="BJ23" s="24">
        <f>0</f>
        <v>0</v>
      </c>
    </row>
    <row r="25" spans="1:68" x14ac:dyDescent="0.35">
      <c r="A25" s="6" t="s">
        <v>297</v>
      </c>
      <c r="B25" s="20" t="s">
        <v>124</v>
      </c>
      <c r="C25" s="24">
        <f t="shared" ref="C25:AH25" si="8">C11+C15+C23</f>
        <v>-6275.8052000000025</v>
      </c>
      <c r="D25" s="24">
        <f t="shared" si="8"/>
        <v>3003.295982399999</v>
      </c>
      <c r="E25" s="24">
        <f t="shared" si="8"/>
        <v>51463.948626819198</v>
      </c>
      <c r="F25" s="24">
        <f t="shared" si="8"/>
        <v>101265.19363746321</v>
      </c>
      <c r="G25" s="24">
        <f t="shared" si="8"/>
        <v>156227.31290289227</v>
      </c>
      <c r="H25" s="24">
        <f t="shared" si="8"/>
        <v>209061.31330464291</v>
      </c>
      <c r="I25" s="24">
        <f t="shared" si="8"/>
        <v>258221.58165386465</v>
      </c>
      <c r="J25" s="24">
        <f t="shared" si="8"/>
        <v>315364.6519124459</v>
      </c>
      <c r="K25" s="24">
        <f t="shared" si="8"/>
        <v>371872.53970582923</v>
      </c>
      <c r="L25" s="24">
        <f t="shared" si="8"/>
        <v>433657.55737473909</v>
      </c>
      <c r="M25" s="24">
        <f t="shared" si="8"/>
        <v>496988.54107489088</v>
      </c>
      <c r="N25" s="24">
        <f t="shared" si="8"/>
        <v>565300.36218469532</v>
      </c>
      <c r="O25" s="24">
        <f t="shared" si="8"/>
        <v>631470.48131150356</v>
      </c>
      <c r="P25" s="24">
        <f t="shared" si="8"/>
        <v>701526.71576554608</v>
      </c>
      <c r="Q25" s="24">
        <f t="shared" si="8"/>
        <v>782639.74546027463</v>
      </c>
      <c r="R25" s="24">
        <f t="shared" si="8"/>
        <v>869768.09425333783</v>
      </c>
      <c r="S25" s="24">
        <f t="shared" si="8"/>
        <v>958827.7598899072</v>
      </c>
      <c r="T25" s="24">
        <f t="shared" si="8"/>
        <v>1054217.9196857312</v>
      </c>
      <c r="U25" s="24">
        <f t="shared" si="8"/>
        <v>1156046.9066864541</v>
      </c>
      <c r="V25" s="24">
        <f t="shared" si="8"/>
        <v>1267614.1540760207</v>
      </c>
      <c r="W25" s="24">
        <f t="shared" si="8"/>
        <v>1386633.7375363167</v>
      </c>
      <c r="X25" s="24">
        <f t="shared" si="8"/>
        <v>1512004.619608273</v>
      </c>
      <c r="Y25" s="24">
        <f t="shared" si="8"/>
        <v>1645102.419740764</v>
      </c>
      <c r="Z25" s="24">
        <f t="shared" si="8"/>
        <v>1785280.6575413942</v>
      </c>
      <c r="AA25" s="24">
        <f t="shared" si="8"/>
        <v>1927447.7523266179</v>
      </c>
      <c r="AB25" s="24">
        <f t="shared" si="8"/>
        <v>2078096.3211785688</v>
      </c>
      <c r="AC25" s="24">
        <f t="shared" si="8"/>
        <v>2253076.2135018976</v>
      </c>
      <c r="AD25" s="24">
        <f t="shared" si="8"/>
        <v>2437147.3754458083</v>
      </c>
      <c r="AE25" s="24">
        <f t="shared" si="8"/>
        <v>2633252.0680751828</v>
      </c>
      <c r="AF25" s="24">
        <f t="shared" si="8"/>
        <v>2842708.7982401913</v>
      </c>
      <c r="AG25" s="24">
        <f t="shared" si="8"/>
        <v>3065402.9228006275</v>
      </c>
      <c r="AH25" s="24">
        <f t="shared" si="8"/>
        <v>3303026.4166297275</v>
      </c>
      <c r="AI25" s="24">
        <f t="shared" ref="AI25:BJ25" si="9">AI11+AI15+AI23</f>
        <v>3557815.8859306611</v>
      </c>
      <c r="AJ25" s="24">
        <f t="shared" si="9"/>
        <v>3827621.4114893964</v>
      </c>
      <c r="AK25" s="24">
        <f t="shared" si="9"/>
        <v>4116048.5579084442</v>
      </c>
      <c r="AL25" s="24">
        <f t="shared" si="9"/>
        <v>4424145.3219624525</v>
      </c>
      <c r="AM25" s="24">
        <f t="shared" si="9"/>
        <v>4456716.7270760946</v>
      </c>
      <c r="AN25" s="24">
        <f t="shared" si="9"/>
        <v>4470536.651249107</v>
      </c>
      <c r="AO25" s="24">
        <f t="shared" si="9"/>
        <v>4428111.9892435139</v>
      </c>
      <c r="AP25" s="24">
        <f t="shared" si="9"/>
        <v>4390441.27909109</v>
      </c>
      <c r="AQ25" s="24">
        <f t="shared" si="9"/>
        <v>4356571.2081152592</v>
      </c>
      <c r="AR25" s="24">
        <f t="shared" si="9"/>
        <v>4327337.1229435196</v>
      </c>
      <c r="AS25" s="24">
        <f t="shared" si="9"/>
        <v>4301527.5731103783</v>
      </c>
      <c r="AT25" s="24">
        <f t="shared" si="9"/>
        <v>4279279.5521732243</v>
      </c>
      <c r="AU25" s="24">
        <f t="shared" si="9"/>
        <v>4259786.928533854</v>
      </c>
      <c r="AV25" s="24">
        <f t="shared" si="9"/>
        <v>4243983.4278987627</v>
      </c>
      <c r="AW25" s="24">
        <f t="shared" si="9"/>
        <v>4233521.2229683893</v>
      </c>
      <c r="AX25" s="24">
        <f t="shared" si="9"/>
        <v>4225891.2077605594</v>
      </c>
      <c r="AY25" s="24">
        <f t="shared" si="9"/>
        <v>4220953.2664511595</v>
      </c>
      <c r="AZ25" s="24">
        <f t="shared" si="9"/>
        <v>4218407.5784394396</v>
      </c>
      <c r="BA25" s="24">
        <f t="shared" si="9"/>
        <v>4218110.1050793678</v>
      </c>
      <c r="BB25" s="24">
        <f t="shared" si="9"/>
        <v>4218973.9288701415</v>
      </c>
      <c r="BC25" s="24">
        <f t="shared" si="9"/>
        <v>4222377.9124180414</v>
      </c>
      <c r="BD25" s="24">
        <f t="shared" si="9"/>
        <v>4226767.1101967702</v>
      </c>
      <c r="BE25" s="24">
        <f t="shared" si="9"/>
        <v>4233538.1077047978</v>
      </c>
      <c r="BF25" s="24">
        <f t="shared" si="9"/>
        <v>4242228.1425210275</v>
      </c>
      <c r="BG25" s="24">
        <f t="shared" si="9"/>
        <v>4251592.0591800977</v>
      </c>
      <c r="BH25" s="24">
        <f t="shared" si="9"/>
        <v>4263116.115829506</v>
      </c>
      <c r="BI25" s="24">
        <f t="shared" si="9"/>
        <v>4275807.4616964031</v>
      </c>
      <c r="BJ25" s="24">
        <f t="shared" si="9"/>
        <v>4289632.5934250541</v>
      </c>
      <c r="BK25" s="24">
        <f>SUMPRODUCT((YEAR(EDATE(Controls!$B$6,COLUMN($C$1:$BJ$1)-COLUMN($C$1)))=YEAR(Controls!$B$6)+0)*(COLUMN($C$1:$BJ$1)-COLUMN($C$1)&lt;Controls!$B$7)*$C$25:$BJ$25)</f>
        <v>2956150.4931606827</v>
      </c>
      <c r="BL25" s="24">
        <f>SUMPRODUCT((YEAR(EDATE(Controls!$B$6,COLUMN($C$1:$BJ$1)-COLUMN($C$1)))=YEAR(Controls!$B$6)+1)*(COLUMN($C$1:$BJ$1)-COLUMN($C$1)&lt;Controls!$B$7)*$C$25:$BJ$25)</f>
        <v>13751133.211555524</v>
      </c>
      <c r="BM25" s="24">
        <f>SUMPRODUCT((YEAR(EDATE(Controls!$B$6,COLUMN($C$1:$BJ$1)-COLUMN($C$1)))=YEAR(Controls!$B$6)+2)*(COLUMN($C$1:$BJ$1)-COLUMN($C$1)&lt;Controls!$B$7)*$C$25:$BJ$25)</f>
        <v>36465789.045489579</v>
      </c>
      <c r="BN25" s="24">
        <f>SUMPRODUCT((YEAR(EDATE(Controls!$B$6,COLUMN($C$1:$BJ$1)-COLUMN($C$1)))=YEAR(Controls!$B$6)+3)*(COLUMN($C$1:$BJ$1)-COLUMN($C$1)&lt;Controls!$B$7)*$C$25:$BJ$25)</f>
        <v>0</v>
      </c>
      <c r="BO25" s="24">
        <f>SUMPRODUCT((YEAR(EDATE(Controls!$B$6,COLUMN($C$1:$BJ$1)-COLUMN($C$1)))=YEAR(Controls!$B$6)+4)*(COLUMN($C$1:$BJ$1)-COLUMN($C$1)&lt;Controls!$B$7)*$C$25:$BJ$25)</f>
        <v>0</v>
      </c>
      <c r="BP25" s="24">
        <f>SUMPRODUCT((YEAR(EDATE(Controls!$B$6,COLUMN($C$1:$BJ$1)-COLUMN($C$1)))=YEAR(Controls!$B$6)+5)*(COLUMN($C$1:$BJ$1)-COLUMN($C$1)&lt;Controls!$B$7)*$C$25:$BJ$25)</f>
        <v>0</v>
      </c>
    </row>
    <row r="26" spans="1:68" x14ac:dyDescent="0.35">
      <c r="A26" s="15" t="s">
        <v>298</v>
      </c>
      <c r="B26" s="20" t="s">
        <v>124</v>
      </c>
      <c r="C26" s="24">
        <f>Controls!$B$19</f>
        <v>1000000</v>
      </c>
      <c r="D26" s="24">
        <f t="shared" ref="D26:AI26" si="10">C27</f>
        <v>993724.19479999994</v>
      </c>
      <c r="E26" s="24">
        <f t="shared" si="10"/>
        <v>996727.49078239989</v>
      </c>
      <c r="F26" s="24">
        <f t="shared" si="10"/>
        <v>1048191.4394092191</v>
      </c>
      <c r="G26" s="24">
        <f t="shared" si="10"/>
        <v>1149456.6330466822</v>
      </c>
      <c r="H26" s="24">
        <f t="shared" si="10"/>
        <v>1305683.9459495745</v>
      </c>
      <c r="I26" s="24">
        <f t="shared" si="10"/>
        <v>1514745.2592542174</v>
      </c>
      <c r="J26" s="24">
        <f t="shared" si="10"/>
        <v>1772966.840908082</v>
      </c>
      <c r="K26" s="24">
        <f t="shared" si="10"/>
        <v>2088331.4928205279</v>
      </c>
      <c r="L26" s="24">
        <f t="shared" si="10"/>
        <v>2460204.0325263571</v>
      </c>
      <c r="M26" s="24">
        <f t="shared" si="10"/>
        <v>2893861.5899010962</v>
      </c>
      <c r="N26" s="24">
        <f t="shared" si="10"/>
        <v>3390850.1309759868</v>
      </c>
      <c r="O26" s="24">
        <f t="shared" si="10"/>
        <v>3956150.4931606823</v>
      </c>
      <c r="P26" s="24">
        <f t="shared" si="10"/>
        <v>4587620.9744721856</v>
      </c>
      <c r="Q26" s="24">
        <f t="shared" si="10"/>
        <v>5289147.6902377317</v>
      </c>
      <c r="R26" s="24">
        <f t="shared" si="10"/>
        <v>6071787.4356980063</v>
      </c>
      <c r="S26" s="24">
        <f t="shared" si="10"/>
        <v>6941555.5299513442</v>
      </c>
      <c r="T26" s="24">
        <f t="shared" si="10"/>
        <v>7900383.2898412514</v>
      </c>
      <c r="U26" s="24">
        <f t="shared" si="10"/>
        <v>8954601.2095269822</v>
      </c>
      <c r="V26" s="24">
        <f t="shared" si="10"/>
        <v>10110648.116213437</v>
      </c>
      <c r="W26" s="24">
        <f t="shared" si="10"/>
        <v>11378262.270289458</v>
      </c>
      <c r="X26" s="24">
        <f t="shared" si="10"/>
        <v>12764896.007825775</v>
      </c>
      <c r="Y26" s="24">
        <f t="shared" si="10"/>
        <v>14276900.627434049</v>
      </c>
      <c r="Z26" s="24">
        <f t="shared" si="10"/>
        <v>15922003.047174813</v>
      </c>
      <c r="AA26" s="24">
        <f t="shared" si="10"/>
        <v>17707283.704716206</v>
      </c>
      <c r="AB26" s="24">
        <f t="shared" si="10"/>
        <v>19634731.457042824</v>
      </c>
      <c r="AC26" s="24">
        <f t="shared" si="10"/>
        <v>21712827.778221395</v>
      </c>
      <c r="AD26" s="24">
        <f t="shared" si="10"/>
        <v>23965903.991723292</v>
      </c>
      <c r="AE26" s="24">
        <f t="shared" si="10"/>
        <v>26403051.367169101</v>
      </c>
      <c r="AF26" s="24">
        <f t="shared" si="10"/>
        <v>29036303.435244285</v>
      </c>
      <c r="AG26" s="24">
        <f t="shared" si="10"/>
        <v>31879012.233484477</v>
      </c>
      <c r="AH26" s="24">
        <f t="shared" si="10"/>
        <v>34944415.156285107</v>
      </c>
      <c r="AI26" s="24">
        <f t="shared" si="10"/>
        <v>38247441.572914831</v>
      </c>
      <c r="AJ26" s="24">
        <f t="shared" ref="AJ26:BJ26" si="11">AI27</f>
        <v>41805257.458845496</v>
      </c>
      <c r="AK26" s="24">
        <f t="shared" si="11"/>
        <v>45632878.870334893</v>
      </c>
      <c r="AL26" s="24">
        <f t="shared" si="11"/>
        <v>49748927.428243339</v>
      </c>
      <c r="AM26" s="24">
        <f t="shared" si="11"/>
        <v>54173072.750205792</v>
      </c>
      <c r="AN26" s="24">
        <f t="shared" si="11"/>
        <v>58629789.477281883</v>
      </c>
      <c r="AO26" s="24">
        <f t="shared" si="11"/>
        <v>63100326.128530994</v>
      </c>
      <c r="AP26" s="24">
        <f t="shared" si="11"/>
        <v>67528438.117774501</v>
      </c>
      <c r="AQ26" s="24">
        <f t="shared" si="11"/>
        <v>71918879.396865591</v>
      </c>
      <c r="AR26" s="24">
        <f t="shared" si="11"/>
        <v>76275450.604980856</v>
      </c>
      <c r="AS26" s="24">
        <f t="shared" si="11"/>
        <v>80602787.727924377</v>
      </c>
      <c r="AT26" s="24">
        <f t="shared" si="11"/>
        <v>84904315.301034749</v>
      </c>
      <c r="AU26" s="24">
        <f t="shared" si="11"/>
        <v>89183594.853207976</v>
      </c>
      <c r="AV26" s="24">
        <f t="shared" si="11"/>
        <v>93443381.781741828</v>
      </c>
      <c r="AW26" s="24">
        <f t="shared" si="11"/>
        <v>97687365.209640592</v>
      </c>
      <c r="AX26" s="24">
        <f t="shared" si="11"/>
        <v>101920886.43260898</v>
      </c>
      <c r="AY26" s="24">
        <f t="shared" si="11"/>
        <v>106146777.64036953</v>
      </c>
      <c r="AZ26" s="24">
        <f t="shared" si="11"/>
        <v>110367730.9068207</v>
      </c>
      <c r="BA26" s="24">
        <f t="shared" si="11"/>
        <v>114586138.48526014</v>
      </c>
      <c r="BB26" s="24">
        <f t="shared" si="11"/>
        <v>118804248.59033951</v>
      </c>
      <c r="BC26" s="24">
        <f t="shared" si="11"/>
        <v>123023222.51920965</v>
      </c>
      <c r="BD26" s="24">
        <f t="shared" si="11"/>
        <v>127245600.43162769</v>
      </c>
      <c r="BE26" s="24">
        <f t="shared" si="11"/>
        <v>131472367.54182446</v>
      </c>
      <c r="BF26" s="24">
        <f t="shared" si="11"/>
        <v>135705905.64952925</v>
      </c>
      <c r="BG26" s="24">
        <f t="shared" si="11"/>
        <v>139948133.79205027</v>
      </c>
      <c r="BH26" s="24">
        <f t="shared" si="11"/>
        <v>144199725.85123038</v>
      </c>
      <c r="BI26" s="24">
        <f t="shared" si="11"/>
        <v>148462841.96705988</v>
      </c>
      <c r="BJ26" s="24">
        <f t="shared" si="11"/>
        <v>152738649.4287563</v>
      </c>
    </row>
    <row r="27" spans="1:68" x14ac:dyDescent="0.35">
      <c r="A27" s="6" t="s">
        <v>299</v>
      </c>
      <c r="B27" s="20" t="s">
        <v>124</v>
      </c>
      <c r="C27" s="24">
        <f t="shared" ref="C27:AH27" si="12">C26+C25</f>
        <v>993724.19479999994</v>
      </c>
      <c r="D27" s="24">
        <f t="shared" si="12"/>
        <v>996727.49078239989</v>
      </c>
      <c r="E27" s="24">
        <f t="shared" si="12"/>
        <v>1048191.4394092191</v>
      </c>
      <c r="F27" s="24">
        <f t="shared" si="12"/>
        <v>1149456.6330466822</v>
      </c>
      <c r="G27" s="24">
        <f t="shared" si="12"/>
        <v>1305683.9459495745</v>
      </c>
      <c r="H27" s="24">
        <f t="shared" si="12"/>
        <v>1514745.2592542174</v>
      </c>
      <c r="I27" s="24">
        <f t="shared" si="12"/>
        <v>1772966.840908082</v>
      </c>
      <c r="J27" s="24">
        <f t="shared" si="12"/>
        <v>2088331.4928205279</v>
      </c>
      <c r="K27" s="24">
        <f t="shared" si="12"/>
        <v>2460204.0325263571</v>
      </c>
      <c r="L27" s="24">
        <f t="shared" si="12"/>
        <v>2893861.5899010962</v>
      </c>
      <c r="M27" s="24">
        <f t="shared" si="12"/>
        <v>3390850.1309759868</v>
      </c>
      <c r="N27" s="24">
        <f t="shared" si="12"/>
        <v>3956150.4931606823</v>
      </c>
      <c r="O27" s="24">
        <f t="shared" si="12"/>
        <v>4587620.9744721856</v>
      </c>
      <c r="P27" s="24">
        <f t="shared" si="12"/>
        <v>5289147.6902377317</v>
      </c>
      <c r="Q27" s="24">
        <f t="shared" si="12"/>
        <v>6071787.4356980063</v>
      </c>
      <c r="R27" s="24">
        <f t="shared" si="12"/>
        <v>6941555.5299513442</v>
      </c>
      <c r="S27" s="24">
        <f t="shared" si="12"/>
        <v>7900383.2898412514</v>
      </c>
      <c r="T27" s="24">
        <f t="shared" si="12"/>
        <v>8954601.2095269822</v>
      </c>
      <c r="U27" s="24">
        <f t="shared" si="12"/>
        <v>10110648.116213437</v>
      </c>
      <c r="V27" s="24">
        <f t="shared" si="12"/>
        <v>11378262.270289458</v>
      </c>
      <c r="W27" s="24">
        <f t="shared" si="12"/>
        <v>12764896.007825775</v>
      </c>
      <c r="X27" s="24">
        <f t="shared" si="12"/>
        <v>14276900.627434049</v>
      </c>
      <c r="Y27" s="24">
        <f t="shared" si="12"/>
        <v>15922003.047174813</v>
      </c>
      <c r="Z27" s="24">
        <f t="shared" si="12"/>
        <v>17707283.704716206</v>
      </c>
      <c r="AA27" s="24">
        <f t="shared" si="12"/>
        <v>19634731.457042824</v>
      </c>
      <c r="AB27" s="24">
        <f t="shared" si="12"/>
        <v>21712827.778221395</v>
      </c>
      <c r="AC27" s="24">
        <f t="shared" si="12"/>
        <v>23965903.991723292</v>
      </c>
      <c r="AD27" s="24">
        <f t="shared" si="12"/>
        <v>26403051.367169101</v>
      </c>
      <c r="AE27" s="24">
        <f t="shared" si="12"/>
        <v>29036303.435244285</v>
      </c>
      <c r="AF27" s="24">
        <f t="shared" si="12"/>
        <v>31879012.233484477</v>
      </c>
      <c r="AG27" s="24">
        <f t="shared" si="12"/>
        <v>34944415.156285107</v>
      </c>
      <c r="AH27" s="24">
        <f t="shared" si="12"/>
        <v>38247441.572914831</v>
      </c>
      <c r="AI27" s="24">
        <f t="shared" ref="AI27:BJ27" si="13">AI26+AI25</f>
        <v>41805257.458845496</v>
      </c>
      <c r="AJ27" s="24">
        <f t="shared" si="13"/>
        <v>45632878.870334893</v>
      </c>
      <c r="AK27" s="24">
        <f t="shared" si="13"/>
        <v>49748927.428243339</v>
      </c>
      <c r="AL27" s="24">
        <f t="shared" si="13"/>
        <v>54173072.750205792</v>
      </c>
      <c r="AM27" s="24">
        <f t="shared" si="13"/>
        <v>58629789.477281883</v>
      </c>
      <c r="AN27" s="24">
        <f t="shared" si="13"/>
        <v>63100326.128530994</v>
      </c>
      <c r="AO27" s="24">
        <f t="shared" si="13"/>
        <v>67528438.117774501</v>
      </c>
      <c r="AP27" s="24">
        <f t="shared" si="13"/>
        <v>71918879.396865591</v>
      </c>
      <c r="AQ27" s="24">
        <f t="shared" si="13"/>
        <v>76275450.604980856</v>
      </c>
      <c r="AR27" s="24">
        <f t="shared" si="13"/>
        <v>80602787.727924377</v>
      </c>
      <c r="AS27" s="24">
        <f t="shared" si="13"/>
        <v>84904315.301034749</v>
      </c>
      <c r="AT27" s="24">
        <f t="shared" si="13"/>
        <v>89183594.853207976</v>
      </c>
      <c r="AU27" s="24">
        <f t="shared" si="13"/>
        <v>93443381.781741828</v>
      </c>
      <c r="AV27" s="24">
        <f t="shared" si="13"/>
        <v>97687365.209640592</v>
      </c>
      <c r="AW27" s="24">
        <f t="shared" si="13"/>
        <v>101920886.43260898</v>
      </c>
      <c r="AX27" s="24">
        <f t="shared" si="13"/>
        <v>106146777.64036953</v>
      </c>
      <c r="AY27" s="24">
        <f t="shared" si="13"/>
        <v>110367730.9068207</v>
      </c>
      <c r="AZ27" s="24">
        <f t="shared" si="13"/>
        <v>114586138.48526014</v>
      </c>
      <c r="BA27" s="24">
        <f t="shared" si="13"/>
        <v>118804248.59033951</v>
      </c>
      <c r="BB27" s="24">
        <f t="shared" si="13"/>
        <v>123023222.51920965</v>
      </c>
      <c r="BC27" s="24">
        <f t="shared" si="13"/>
        <v>127245600.43162769</v>
      </c>
      <c r="BD27" s="24">
        <f t="shared" si="13"/>
        <v>131472367.54182446</v>
      </c>
      <c r="BE27" s="24">
        <f t="shared" si="13"/>
        <v>135705905.64952925</v>
      </c>
      <c r="BF27" s="24">
        <f t="shared" si="13"/>
        <v>139948133.79205027</v>
      </c>
      <c r="BG27" s="24">
        <f t="shared" si="13"/>
        <v>144199725.85123038</v>
      </c>
      <c r="BH27" s="24">
        <f t="shared" si="13"/>
        <v>148462841.96705988</v>
      </c>
      <c r="BI27" s="24">
        <f t="shared" si="13"/>
        <v>152738649.4287563</v>
      </c>
      <c r="BJ27" s="24">
        <f t="shared" si="13"/>
        <v>157028282.02218136</v>
      </c>
      <c r="BK27" s="24">
        <f>IFERROR(LOOKUP(2,1/((YEAR(EDATE(Controls!$B$6,COLUMN($C$1:$BJ$1)-COLUMN($C$1)))=YEAR(Controls!$B$6)+0)*(COLUMN($C$1:$BJ$1)-COLUMN($C$1)&lt;Controls!$B$7)),$C$27:$BJ$27),0)</f>
        <v>3956150.4931606823</v>
      </c>
      <c r="BL27" s="24">
        <f>IFERROR(LOOKUP(2,1/((YEAR(EDATE(Controls!$B$6,COLUMN($C$1:$BJ$1)-COLUMN($C$1)))=YEAR(Controls!$B$6)+1)*(COLUMN($C$1:$BJ$1)-COLUMN($C$1)&lt;Controls!$B$7)),$C$27:$BJ$27),0)</f>
        <v>17707283.704716206</v>
      </c>
      <c r="BM27" s="24">
        <f>IFERROR(LOOKUP(2,1/((YEAR(EDATE(Controls!$B$6,COLUMN($C$1:$BJ$1)-COLUMN($C$1)))=YEAR(Controls!$B$6)+2)*(COLUMN($C$1:$BJ$1)-COLUMN($C$1)&lt;Controls!$B$7)),$C$27:$BJ$27),0)</f>
        <v>54173072.750205792</v>
      </c>
      <c r="BN27" s="24">
        <f>IFERROR(LOOKUP(2,1/((YEAR(EDATE(Controls!$B$6,COLUMN($C$1:$BJ$1)-COLUMN($C$1)))=YEAR(Controls!$B$6)+3)*(COLUMN($C$1:$BJ$1)-COLUMN($C$1)&lt;Controls!$B$7)),$C$27:$BJ$27),0)</f>
        <v>0</v>
      </c>
      <c r="BO27" s="24">
        <f>IFERROR(LOOKUP(2,1/((YEAR(EDATE(Controls!$B$6,COLUMN($C$1:$BJ$1)-COLUMN($C$1)))=YEAR(Controls!$B$6)+4)*(COLUMN($C$1:$BJ$1)-COLUMN($C$1)&lt;Controls!$B$7)),$C$27:$BJ$27),0)</f>
        <v>0</v>
      </c>
      <c r="BP27" s="24">
        <f>IFERROR(LOOKUP(2,1/((YEAR(EDATE(Controls!$B$6,COLUMN($C$1:$BJ$1)-COLUMN($C$1)))=YEAR(Controls!$B$6)+5)*(COLUMN($C$1:$BJ$1)-COLUMN($C$1)&lt;Controls!$B$7)),$C$27:$BJ$27),0)</f>
        <v>0</v>
      </c>
    </row>
    <row r="28" spans="1:68" x14ac:dyDescent="0.35">
      <c r="A28" s="6" t="s">
        <v>300</v>
      </c>
      <c r="B28" s="20" t="s">
        <v>301</v>
      </c>
      <c r="C28" s="26">
        <f t="shared" ref="C28:AH28" si="14">IFERROR(IF(C19&gt;0,C27/C19,999),999)</f>
        <v>158.34210322525618</v>
      </c>
      <c r="D28" s="26">
        <f t="shared" si="14"/>
        <v>999</v>
      </c>
      <c r="E28" s="26">
        <f t="shared" si="14"/>
        <v>999</v>
      </c>
      <c r="F28" s="26">
        <f t="shared" si="14"/>
        <v>999</v>
      </c>
      <c r="G28" s="26">
        <f t="shared" si="14"/>
        <v>999</v>
      </c>
      <c r="H28" s="26">
        <f t="shared" si="14"/>
        <v>999</v>
      </c>
      <c r="I28" s="26">
        <f t="shared" si="14"/>
        <v>999</v>
      </c>
      <c r="J28" s="26">
        <f t="shared" si="14"/>
        <v>999</v>
      </c>
      <c r="K28" s="26">
        <f t="shared" si="14"/>
        <v>999</v>
      </c>
      <c r="L28" s="26">
        <f t="shared" si="14"/>
        <v>999</v>
      </c>
      <c r="M28" s="26">
        <f t="shared" si="14"/>
        <v>999</v>
      </c>
      <c r="N28" s="26">
        <f t="shared" si="14"/>
        <v>999</v>
      </c>
      <c r="O28" s="26">
        <f t="shared" si="14"/>
        <v>999</v>
      </c>
      <c r="P28" s="26">
        <f t="shared" si="14"/>
        <v>999</v>
      </c>
      <c r="Q28" s="26">
        <f t="shared" si="14"/>
        <v>999</v>
      </c>
      <c r="R28" s="26">
        <f t="shared" si="14"/>
        <v>999</v>
      </c>
      <c r="S28" s="26">
        <f t="shared" si="14"/>
        <v>999</v>
      </c>
      <c r="T28" s="26">
        <f t="shared" si="14"/>
        <v>999</v>
      </c>
      <c r="U28" s="26">
        <f t="shared" si="14"/>
        <v>999</v>
      </c>
      <c r="V28" s="26">
        <f t="shared" si="14"/>
        <v>999</v>
      </c>
      <c r="W28" s="26">
        <f t="shared" si="14"/>
        <v>999</v>
      </c>
      <c r="X28" s="26">
        <f t="shared" si="14"/>
        <v>999</v>
      </c>
      <c r="Y28" s="26">
        <f t="shared" si="14"/>
        <v>999</v>
      </c>
      <c r="Z28" s="26">
        <f t="shared" si="14"/>
        <v>999</v>
      </c>
      <c r="AA28" s="26">
        <f t="shared" si="14"/>
        <v>999</v>
      </c>
      <c r="AB28" s="26">
        <f t="shared" si="14"/>
        <v>999</v>
      </c>
      <c r="AC28" s="26">
        <f t="shared" si="14"/>
        <v>999</v>
      </c>
      <c r="AD28" s="26">
        <f t="shared" si="14"/>
        <v>999</v>
      </c>
      <c r="AE28" s="26">
        <f t="shared" si="14"/>
        <v>999</v>
      </c>
      <c r="AF28" s="26">
        <f t="shared" si="14"/>
        <v>999</v>
      </c>
      <c r="AG28" s="26">
        <f t="shared" si="14"/>
        <v>999</v>
      </c>
      <c r="AH28" s="26">
        <f t="shared" si="14"/>
        <v>999</v>
      </c>
      <c r="AI28" s="26">
        <f t="shared" ref="AI28:BJ28" si="15">IFERROR(IF(AI19&gt;0,AI27/AI19,999),999)</f>
        <v>999</v>
      </c>
      <c r="AJ28" s="26">
        <f t="shared" si="15"/>
        <v>999</v>
      </c>
      <c r="AK28" s="26">
        <f t="shared" si="15"/>
        <v>999</v>
      </c>
      <c r="AL28" s="26">
        <f t="shared" si="15"/>
        <v>999</v>
      </c>
      <c r="AM28" s="26">
        <f t="shared" si="15"/>
        <v>999</v>
      </c>
      <c r="AN28" s="26">
        <f t="shared" si="15"/>
        <v>999</v>
      </c>
      <c r="AO28" s="26">
        <f t="shared" si="15"/>
        <v>999</v>
      </c>
      <c r="AP28" s="26">
        <f t="shared" si="15"/>
        <v>999</v>
      </c>
      <c r="AQ28" s="26">
        <f t="shared" si="15"/>
        <v>999</v>
      </c>
      <c r="AR28" s="26">
        <f t="shared" si="15"/>
        <v>999</v>
      </c>
      <c r="AS28" s="26">
        <f t="shared" si="15"/>
        <v>999</v>
      </c>
      <c r="AT28" s="26">
        <f t="shared" si="15"/>
        <v>999</v>
      </c>
      <c r="AU28" s="26">
        <f t="shared" si="15"/>
        <v>999</v>
      </c>
      <c r="AV28" s="26">
        <f t="shared" si="15"/>
        <v>999</v>
      </c>
      <c r="AW28" s="26">
        <f t="shared" si="15"/>
        <v>999</v>
      </c>
      <c r="AX28" s="26">
        <f t="shared" si="15"/>
        <v>999</v>
      </c>
      <c r="AY28" s="26">
        <f t="shared" si="15"/>
        <v>999</v>
      </c>
      <c r="AZ28" s="26">
        <f t="shared" si="15"/>
        <v>999</v>
      </c>
      <c r="BA28" s="26">
        <f t="shared" si="15"/>
        <v>999</v>
      </c>
      <c r="BB28" s="26">
        <f t="shared" si="15"/>
        <v>999</v>
      </c>
      <c r="BC28" s="26">
        <f t="shared" si="15"/>
        <v>999</v>
      </c>
      <c r="BD28" s="26">
        <f t="shared" si="15"/>
        <v>999</v>
      </c>
      <c r="BE28" s="26">
        <f t="shared" si="15"/>
        <v>999</v>
      </c>
      <c r="BF28" s="26">
        <f t="shared" si="15"/>
        <v>999</v>
      </c>
      <c r="BG28" s="26">
        <f t="shared" si="15"/>
        <v>999</v>
      </c>
      <c r="BH28" s="26">
        <f t="shared" si="15"/>
        <v>999</v>
      </c>
      <c r="BI28" s="26">
        <f t="shared" si="15"/>
        <v>999</v>
      </c>
      <c r="BJ28" s="26">
        <f t="shared" si="15"/>
        <v>999</v>
      </c>
      <c r="BK28" s="26">
        <f>IFERROR(LOOKUP(2,1/((YEAR(EDATE(Controls!$B$6,COLUMN($C$1:$BJ$1)-COLUMN($C$1)))=YEAR(Controls!$B$6)+0)*(COLUMN($C$1:$BJ$1)-COLUMN($C$1)&lt;Controls!$B$7)),$C$28:$BJ$28),0)</f>
        <v>999</v>
      </c>
      <c r="BL28" s="26">
        <f>IFERROR(LOOKUP(2,1/((YEAR(EDATE(Controls!$B$6,COLUMN($C$1:$BJ$1)-COLUMN($C$1)))=YEAR(Controls!$B$6)+1)*(COLUMN($C$1:$BJ$1)-COLUMN($C$1)&lt;Controls!$B$7)),$C$28:$BJ$28),0)</f>
        <v>999</v>
      </c>
      <c r="BM28" s="26">
        <f>IFERROR(LOOKUP(2,1/((YEAR(EDATE(Controls!$B$6,COLUMN($C$1:$BJ$1)-COLUMN($C$1)))=YEAR(Controls!$B$6)+2)*(COLUMN($C$1:$BJ$1)-COLUMN($C$1)&lt;Controls!$B$7)),$C$28:$BJ$28),0)</f>
        <v>999</v>
      </c>
      <c r="BN28" s="26">
        <f>IFERROR(LOOKUP(2,1/((YEAR(EDATE(Controls!$B$6,COLUMN($C$1:$BJ$1)-COLUMN($C$1)))=YEAR(Controls!$B$6)+3)*(COLUMN($C$1:$BJ$1)-COLUMN($C$1)&lt;Controls!$B$7)),$C$28:$BJ$28),0)</f>
        <v>0</v>
      </c>
      <c r="BO28" s="26">
        <f>IFERROR(LOOKUP(2,1/((YEAR(EDATE(Controls!$B$6,COLUMN($C$1:$BJ$1)-COLUMN($C$1)))=YEAR(Controls!$B$6)+4)*(COLUMN($C$1:$BJ$1)-COLUMN($C$1)&lt;Controls!$B$7)),$C$28:$BJ$28),0)</f>
        <v>0</v>
      </c>
      <c r="BP28" s="26">
        <f>IFERROR(LOOKUP(2,1/((YEAR(EDATE(Controls!$B$6,COLUMN($C$1:$BJ$1)-COLUMN($C$1)))=YEAR(Controls!$B$6)+5)*(COLUMN($C$1:$BJ$1)-COLUMN($C$1)&lt;Controls!$B$7)),$C$28:$BJ$28),0)</f>
        <v>0</v>
      </c>
    </row>
  </sheetData>
  <mergeCells count="5">
    <mergeCell ref="A1:BM1"/>
    <mergeCell ref="A5:BP5"/>
    <mergeCell ref="A13:BP13"/>
    <mergeCell ref="A17:BP17"/>
    <mergeCell ref="A22:BP2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8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9D18E"/>
  </sheetPr>
  <dimension ref="A1:BP2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6" sqref="I6"/>
    </sheetView>
  </sheetViews>
  <sheetFormatPr defaultColWidth="8.6328125" defaultRowHeight="14.5" x14ac:dyDescent="0.35"/>
  <cols>
    <col min="1" max="1" width="36" customWidth="1"/>
    <col min="2" max="2" width="12" customWidth="1"/>
    <col min="3" max="4" width="9" customWidth="1"/>
    <col min="5" max="20" width="9.90625" bestFit="1" customWidth="1"/>
    <col min="21" max="26" width="10.90625" bestFit="1" customWidth="1"/>
    <col min="27" max="62" width="9" customWidth="1"/>
    <col min="63" max="68" width="12" customWidth="1"/>
  </cols>
  <sheetData>
    <row r="1" spans="1:68" ht="27.75" customHeight="1" x14ac:dyDescent="0.35">
      <c r="A1" s="57" t="s">
        <v>302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5" spans="1:68" ht="18" customHeight="1" x14ac:dyDescent="0.35">
      <c r="A5" s="58" t="s">
        <v>303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x14ac:dyDescent="0.35">
      <c r="A6" s="15" t="s">
        <v>304</v>
      </c>
      <c r="B6" s="20" t="s">
        <v>124</v>
      </c>
      <c r="C6" s="24">
        <f>'Cash Flow'!C27</f>
        <v>993724.19479999994</v>
      </c>
      <c r="D6" s="24">
        <f>'Cash Flow'!D27</f>
        <v>996727.49078239989</v>
      </c>
      <c r="E6" s="24">
        <f>'Cash Flow'!E27</f>
        <v>1048191.4394092191</v>
      </c>
      <c r="F6" s="24">
        <f>'Cash Flow'!F27</f>
        <v>1149456.6330466822</v>
      </c>
      <c r="G6" s="24">
        <f>'Cash Flow'!G27</f>
        <v>1305683.9459495745</v>
      </c>
      <c r="H6" s="24">
        <f>'Cash Flow'!H27</f>
        <v>1514745.2592542174</v>
      </c>
      <c r="I6" s="24">
        <f>'Cash Flow'!I27</f>
        <v>1772966.840908082</v>
      </c>
      <c r="J6" s="24">
        <f>'Cash Flow'!J27</f>
        <v>2088331.4928205279</v>
      </c>
      <c r="K6" s="24">
        <f>'Cash Flow'!K27</f>
        <v>2460204.0325263571</v>
      </c>
      <c r="L6" s="24">
        <f>'Cash Flow'!L27</f>
        <v>2893861.5899010962</v>
      </c>
      <c r="M6" s="24">
        <f>'Cash Flow'!M27</f>
        <v>3390850.1309759868</v>
      </c>
      <c r="N6" s="24">
        <f>'Cash Flow'!N27</f>
        <v>3956150.4931606823</v>
      </c>
      <c r="O6" s="24">
        <f>'Cash Flow'!O27</f>
        <v>4587620.9744721856</v>
      </c>
      <c r="P6" s="24">
        <f>'Cash Flow'!P27</f>
        <v>5289147.6902377317</v>
      </c>
      <c r="Q6" s="24">
        <f>'Cash Flow'!Q27</f>
        <v>6071787.4356980063</v>
      </c>
      <c r="R6" s="24">
        <f>'Cash Flow'!R27</f>
        <v>6941555.5299513442</v>
      </c>
      <c r="S6" s="24">
        <f>'Cash Flow'!S27</f>
        <v>7900383.2898412514</v>
      </c>
      <c r="T6" s="24">
        <f>'Cash Flow'!T27</f>
        <v>8954601.2095269822</v>
      </c>
      <c r="U6" s="24">
        <f>'Cash Flow'!U27</f>
        <v>10110648.116213437</v>
      </c>
      <c r="V6" s="24">
        <f>'Cash Flow'!V27</f>
        <v>11378262.270289458</v>
      </c>
      <c r="W6" s="24">
        <f>'Cash Flow'!W27</f>
        <v>12764896.007825775</v>
      </c>
      <c r="X6" s="24">
        <f>'Cash Flow'!X27</f>
        <v>14276900.627434049</v>
      </c>
      <c r="Y6" s="24">
        <f>'Cash Flow'!Y27</f>
        <v>15922003.047174813</v>
      </c>
      <c r="Z6" s="24">
        <f>'Cash Flow'!Z27</f>
        <v>17707283.704716206</v>
      </c>
      <c r="AA6" s="24">
        <f>'Cash Flow'!AA27</f>
        <v>19634731.457042824</v>
      </c>
      <c r="AB6" s="24">
        <f>'Cash Flow'!AB27</f>
        <v>21712827.778221395</v>
      </c>
      <c r="AC6" s="24">
        <f>'Cash Flow'!AC27</f>
        <v>23965903.991723292</v>
      </c>
      <c r="AD6" s="24">
        <f>'Cash Flow'!AD27</f>
        <v>26403051.367169101</v>
      </c>
      <c r="AE6" s="24">
        <f>'Cash Flow'!AE27</f>
        <v>29036303.435244285</v>
      </c>
      <c r="AF6" s="24">
        <f>'Cash Flow'!AF27</f>
        <v>31879012.233484477</v>
      </c>
      <c r="AG6" s="24">
        <f>'Cash Flow'!AG27</f>
        <v>34944415.156285107</v>
      </c>
      <c r="AH6" s="24">
        <f>'Cash Flow'!AH27</f>
        <v>38247441.572914831</v>
      </c>
      <c r="AI6" s="24">
        <f>'Cash Flow'!AI27</f>
        <v>41805257.458845496</v>
      </c>
      <c r="AJ6" s="24">
        <f>'Cash Flow'!AJ27</f>
        <v>45632878.870334893</v>
      </c>
      <c r="AK6" s="24">
        <f>'Cash Flow'!AK27</f>
        <v>49748927.428243339</v>
      </c>
      <c r="AL6" s="24">
        <f>'Cash Flow'!AL27</f>
        <v>54173072.750205792</v>
      </c>
      <c r="AM6" s="24">
        <f>'Cash Flow'!AM27</f>
        <v>58629789.477281883</v>
      </c>
      <c r="AN6" s="24">
        <f>'Cash Flow'!AN27</f>
        <v>63100326.128530994</v>
      </c>
      <c r="AO6" s="24">
        <f>'Cash Flow'!AO27</f>
        <v>67528438.117774501</v>
      </c>
      <c r="AP6" s="24">
        <f>'Cash Flow'!AP27</f>
        <v>71918879.396865591</v>
      </c>
      <c r="AQ6" s="24">
        <f>'Cash Flow'!AQ27</f>
        <v>76275450.604980856</v>
      </c>
      <c r="AR6" s="24">
        <f>'Cash Flow'!AR27</f>
        <v>80602787.727924377</v>
      </c>
      <c r="AS6" s="24">
        <f>'Cash Flow'!AS27</f>
        <v>84904315.301034749</v>
      </c>
      <c r="AT6" s="24">
        <f>'Cash Flow'!AT27</f>
        <v>89183594.853207976</v>
      </c>
      <c r="AU6" s="24">
        <f>'Cash Flow'!AU27</f>
        <v>93443381.781741828</v>
      </c>
      <c r="AV6" s="24">
        <f>'Cash Flow'!AV27</f>
        <v>97687365.209640592</v>
      </c>
      <c r="AW6" s="24">
        <f>'Cash Flow'!AW27</f>
        <v>101920886.43260898</v>
      </c>
      <c r="AX6" s="24">
        <f>'Cash Flow'!AX27</f>
        <v>106146777.64036953</v>
      </c>
      <c r="AY6" s="24">
        <f>'Cash Flow'!AY27</f>
        <v>110367730.9068207</v>
      </c>
      <c r="AZ6" s="24">
        <f>'Cash Flow'!AZ27</f>
        <v>114586138.48526014</v>
      </c>
      <c r="BA6" s="24">
        <f>'Cash Flow'!BA27</f>
        <v>118804248.59033951</v>
      </c>
      <c r="BB6" s="24">
        <f>'Cash Flow'!BB27</f>
        <v>123023222.51920965</v>
      </c>
      <c r="BC6" s="24">
        <f>'Cash Flow'!BC27</f>
        <v>127245600.43162769</v>
      </c>
      <c r="BD6" s="24">
        <f>'Cash Flow'!BD27</f>
        <v>131472367.54182446</v>
      </c>
      <c r="BE6" s="24">
        <f>'Cash Flow'!BE27</f>
        <v>135705905.64952925</v>
      </c>
      <c r="BF6" s="24">
        <f>'Cash Flow'!BF27</f>
        <v>139948133.79205027</v>
      </c>
      <c r="BG6" s="24">
        <f>'Cash Flow'!BG27</f>
        <v>144199725.85123038</v>
      </c>
      <c r="BH6" s="24">
        <f>'Cash Flow'!BH27</f>
        <v>148462841.96705988</v>
      </c>
      <c r="BI6" s="24">
        <f>'Cash Flow'!BI27</f>
        <v>152738649.4287563</v>
      </c>
      <c r="BJ6" s="24">
        <f>'Cash Flow'!BJ27</f>
        <v>157028282.02218136</v>
      </c>
      <c r="BK6" s="24">
        <f>IFERROR(LOOKUP(2,1/((YEAR(EDATE(Controls!$B$6,COLUMN($C$1:$BJ$1)-COLUMN($C$1)))=YEAR(Controls!$B$6)+0)*(COLUMN($C$1:$BJ$1)-COLUMN($C$1)&lt;Controls!$B$7)),$C$6:$BJ$6),0)</f>
        <v>3956150.4931606823</v>
      </c>
      <c r="BL6" s="24">
        <f>IFERROR(LOOKUP(2,1/((YEAR(EDATE(Controls!$B$6,COLUMN($C$1:$BJ$1)-COLUMN($C$1)))=YEAR(Controls!$B$6)+1)*(COLUMN($C$1:$BJ$1)-COLUMN($C$1)&lt;Controls!$B$7)),$C$6:$BJ$6),0)</f>
        <v>17707283.704716206</v>
      </c>
      <c r="BM6" s="24">
        <f>IFERROR(LOOKUP(2,1/((YEAR(EDATE(Controls!$B$6,COLUMN($C$1:$BJ$1)-COLUMN($C$1)))=YEAR(Controls!$B$6)+2)*(COLUMN($C$1:$BJ$1)-COLUMN($C$1)&lt;Controls!$B$7)),$C$6:$BJ$6),0)</f>
        <v>54173072.750205792</v>
      </c>
      <c r="BN6" s="24">
        <f>IFERROR(LOOKUP(2,1/((YEAR(EDATE(Controls!$B$6,COLUMN($C$1:$BJ$1)-COLUMN($C$1)))=YEAR(Controls!$B$6)+3)*(COLUMN($C$1:$BJ$1)-COLUMN($C$1)&lt;Controls!$B$7)),$C$6:$BJ$6),0)</f>
        <v>0</v>
      </c>
      <c r="BO6" s="24">
        <f>IFERROR(LOOKUP(2,1/((YEAR(EDATE(Controls!$B$6,COLUMN($C$1:$BJ$1)-COLUMN($C$1)))=YEAR(Controls!$B$6)+4)*(COLUMN($C$1:$BJ$1)-COLUMN($C$1)&lt;Controls!$B$7)),$C$6:$BJ$6),0)</f>
        <v>0</v>
      </c>
      <c r="BP6" s="24">
        <f>IFERROR(LOOKUP(2,1/((YEAR(EDATE(Controls!$B$6,COLUMN($C$1:$BJ$1)-COLUMN($C$1)))=YEAR(Controls!$B$6)+5)*(COLUMN($C$1:$BJ$1)-COLUMN($C$1)&lt;Controls!$B$7)),$C$6:$BJ$6),0)</f>
        <v>0</v>
      </c>
    </row>
    <row r="7" spans="1:68" x14ac:dyDescent="0.35">
      <c r="A7" s="15" t="s">
        <v>305</v>
      </c>
      <c r="B7" s="20" t="s">
        <v>124</v>
      </c>
      <c r="C7" s="24">
        <f>Revenue!C96</f>
        <v>5082.9736000000021</v>
      </c>
      <c r="D7" s="24">
        <f>Revenue!D96</f>
        <v>9952.2966068000005</v>
      </c>
      <c r="E7" s="24">
        <f>Revenue!E96</f>
        <v>14905.208107324399</v>
      </c>
      <c r="F7" s="24">
        <f>Revenue!F96</f>
        <v>20039.235653275045</v>
      </c>
      <c r="G7" s="24">
        <f>Revenue!G96</f>
        <v>25594.638550099215</v>
      </c>
      <c r="H7" s="24">
        <f>Revenue!H96</f>
        <v>31376.479341022925</v>
      </c>
      <c r="I7" s="24">
        <f>Revenue!I96</f>
        <v>37489.235833441606</v>
      </c>
      <c r="J7" s="24">
        <f>Revenue!J96</f>
        <v>43692.170205444381</v>
      </c>
      <c r="K7" s="24">
        <f>Revenue!K96</f>
        <v>50326.214272021491</v>
      </c>
      <c r="L7" s="24">
        <f>Revenue!L96</f>
        <v>57492.985462335091</v>
      </c>
      <c r="M7" s="24">
        <f>Revenue!M96</f>
        <v>64980.036560296292</v>
      </c>
      <c r="N7" s="24">
        <f>Revenue!N96</f>
        <v>73007.711136818078</v>
      </c>
      <c r="O7" s="24">
        <f>Revenue!O96</f>
        <v>81484.84889683337</v>
      </c>
      <c r="P7" s="24">
        <f>Revenue!P96</f>
        <v>90688.533422226406</v>
      </c>
      <c r="Q7" s="24">
        <f>Revenue!Q96</f>
        <v>100193.25328368094</v>
      </c>
      <c r="R7" s="24">
        <f>Revenue!R96</f>
        <v>110336.98607090249</v>
      </c>
      <c r="S7" s="24">
        <f>Revenue!S96</f>
        <v>120926.44550076521</v>
      </c>
      <c r="T7" s="24">
        <f>Revenue!T96</f>
        <v>132261.47493650991</v>
      </c>
      <c r="U7" s="24">
        <f>Revenue!U96</f>
        <v>144213.21623952707</v>
      </c>
      <c r="V7" s="24">
        <f>Revenue!V96</f>
        <v>157202.02157930005</v>
      </c>
      <c r="W7" s="24">
        <f>Revenue!W96</f>
        <v>170960.62488328692</v>
      </c>
      <c r="X7" s="24">
        <f>Revenue!X96</f>
        <v>185535.70407316045</v>
      </c>
      <c r="Y7" s="24">
        <f>Revenue!Y96</f>
        <v>201052.617934412</v>
      </c>
      <c r="Z7" s="24">
        <f>Revenue!Z96</f>
        <v>217459.85017710557</v>
      </c>
      <c r="AA7" s="24">
        <f>Revenue!AA96</f>
        <v>234986.26627633645</v>
      </c>
      <c r="AB7" s="24">
        <f>Revenue!AB96</f>
        <v>253779.33328083146</v>
      </c>
      <c r="AC7" s="24">
        <f>Revenue!AC96</f>
        <v>273909.22624006477</v>
      </c>
      <c r="AD7" s="24">
        <f>Revenue!AD96</f>
        <v>295171.1452127829</v>
      </c>
      <c r="AE7" s="24">
        <f>Revenue!AE96</f>
        <v>317871.56679586775</v>
      </c>
      <c r="AF7" s="24">
        <f>Revenue!AF96</f>
        <v>342024.39255773684</v>
      </c>
      <c r="AG7" s="24">
        <f>Revenue!AG96</f>
        <v>367818.93264251127</v>
      </c>
      <c r="AH7" s="24">
        <f>Revenue!AH96</f>
        <v>395328.22460636834</v>
      </c>
      <c r="AI7" s="24">
        <f>Revenue!AI96</f>
        <v>424749.55564038805</v>
      </c>
      <c r="AJ7" s="24">
        <f>Revenue!AJ96</f>
        <v>455941.45234128297</v>
      </c>
      <c r="AK7" s="24">
        <f>Revenue!AK96</f>
        <v>489313.56440936762</v>
      </c>
      <c r="AL7" s="24">
        <f>Revenue!AL96</f>
        <v>524926.16520893155</v>
      </c>
      <c r="AM7" s="24">
        <f>Revenue!AM96</f>
        <v>520555.21373699192</v>
      </c>
      <c r="AN7" s="24">
        <f>Revenue!AN96</f>
        <v>516382.22066889732</v>
      </c>
      <c r="AO7" s="24">
        <f>Revenue!AO96</f>
        <v>512447.79137100041</v>
      </c>
      <c r="AP7" s="24">
        <f>Revenue!AP96</f>
        <v>508617.48879286583</v>
      </c>
      <c r="AQ7" s="24">
        <f>Revenue!AQ96</f>
        <v>504949.61776011449</v>
      </c>
      <c r="AR7" s="24">
        <f>Revenue!AR96</f>
        <v>501484.61751504784</v>
      </c>
      <c r="AS7" s="24">
        <f>Revenue!AS96</f>
        <v>498223.93420090713</v>
      </c>
      <c r="AT7" s="24">
        <f>Revenue!AT96</f>
        <v>495072.175953336</v>
      </c>
      <c r="AU7" s="24">
        <f>Revenue!AU96</f>
        <v>492087.68821804837</v>
      </c>
      <c r="AV7" s="24">
        <f>Revenue!AV96</f>
        <v>489310.95127143641</v>
      </c>
      <c r="AW7" s="24">
        <f>Revenue!AW96</f>
        <v>486807.0027097569</v>
      </c>
      <c r="AX7" s="24">
        <f>Revenue!AX96</f>
        <v>484476.61574558273</v>
      </c>
      <c r="AY7" s="24">
        <f>Revenue!AY96</f>
        <v>482360.34466212714</v>
      </c>
      <c r="AZ7" s="24">
        <f>Revenue!AZ96</f>
        <v>480323.70204493852</v>
      </c>
      <c r="BA7" s="24">
        <f>Revenue!BA96</f>
        <v>478464.14309224644</v>
      </c>
      <c r="BB7" s="24">
        <f>Revenue!BB96</f>
        <v>476686.20417337824</v>
      </c>
      <c r="BC7" s="24">
        <f>Revenue!BC96</f>
        <v>475087.35951110645</v>
      </c>
      <c r="BD7" s="24">
        <f>Revenue!BD96</f>
        <v>473572.16471799742</v>
      </c>
      <c r="BE7" s="24">
        <f>Revenue!BE96</f>
        <v>472238.11348160607</v>
      </c>
      <c r="BF7" s="24">
        <f>Revenue!BF96</f>
        <v>471086.63110371231</v>
      </c>
      <c r="BG7" s="24">
        <f>Revenue!BG96</f>
        <v>469983.10598844365</v>
      </c>
      <c r="BH7" s="24">
        <f>Revenue!BH96</f>
        <v>469064.06898288039</v>
      </c>
      <c r="BI7" s="24">
        <f>Revenue!BI96</f>
        <v>468234.12794097478</v>
      </c>
      <c r="BJ7" s="24">
        <f>Revenue!BJ96</f>
        <v>467590.8293915196</v>
      </c>
      <c r="BK7" s="24">
        <f>IFERROR(LOOKUP(2,1/((YEAR(EDATE(Controls!$B$6,COLUMN($C$1:$BJ$1)-COLUMN($C$1)))=YEAR(Controls!$B$6)+0)*(COLUMN($C$1:$BJ$1)-COLUMN($C$1)&lt;Controls!$B$7)),$C$7:$BJ$7),0)</f>
        <v>73007.711136818078</v>
      </c>
      <c r="BL7" s="24">
        <f>IFERROR(LOOKUP(2,1/((YEAR(EDATE(Controls!$B$6,COLUMN($C$1:$BJ$1)-COLUMN($C$1)))=YEAR(Controls!$B$6)+1)*(COLUMN($C$1:$BJ$1)-COLUMN($C$1)&lt;Controls!$B$7)),$C$7:$BJ$7),0)</f>
        <v>217459.85017710557</v>
      </c>
      <c r="BM7" s="24">
        <f>IFERROR(LOOKUP(2,1/((YEAR(EDATE(Controls!$B$6,COLUMN($C$1:$BJ$1)-COLUMN($C$1)))=YEAR(Controls!$B$6)+2)*(COLUMN($C$1:$BJ$1)-COLUMN($C$1)&lt;Controls!$B$7)),$C$7:$BJ$7),0)</f>
        <v>524926.16520893155</v>
      </c>
      <c r="BN7" s="24">
        <f>IFERROR(LOOKUP(2,1/((YEAR(EDATE(Controls!$B$6,COLUMN($C$1:$BJ$1)-COLUMN($C$1)))=YEAR(Controls!$B$6)+3)*(COLUMN($C$1:$BJ$1)-COLUMN($C$1)&lt;Controls!$B$7)),$C$7:$BJ$7),0)</f>
        <v>0</v>
      </c>
      <c r="BO7" s="24">
        <f>IFERROR(LOOKUP(2,1/((YEAR(EDATE(Controls!$B$6,COLUMN($C$1:$BJ$1)-COLUMN($C$1)))=YEAR(Controls!$B$6)+4)*(COLUMN($C$1:$BJ$1)-COLUMN($C$1)&lt;Controls!$B$7)),$C$7:$BJ$7),0)</f>
        <v>0</v>
      </c>
      <c r="BP7" s="24">
        <f>IFERROR(LOOKUP(2,1/((YEAR(EDATE(Controls!$B$6,COLUMN($C$1:$BJ$1)-COLUMN($C$1)))=YEAR(Controls!$B$6)+5)*(COLUMN($C$1:$BJ$1)-COLUMN($C$1)&lt;Controls!$B$7)),$C$7:$BJ$7),0)</f>
        <v>0</v>
      </c>
    </row>
    <row r="8" spans="1:68" x14ac:dyDescent="0.35">
      <c r="A8" s="15" t="s">
        <v>306</v>
      </c>
      <c r="B8" s="20" t="s">
        <v>124</v>
      </c>
      <c r="C8" s="24">
        <f>0</f>
        <v>0</v>
      </c>
      <c r="D8" s="24">
        <f>0</f>
        <v>0</v>
      </c>
      <c r="E8" s="24">
        <f>0</f>
        <v>0</v>
      </c>
      <c r="F8" s="24">
        <f>0</f>
        <v>0</v>
      </c>
      <c r="G8" s="24">
        <f>0</f>
        <v>0</v>
      </c>
      <c r="H8" s="24">
        <f>0</f>
        <v>0</v>
      </c>
      <c r="I8" s="24">
        <f>0</f>
        <v>0</v>
      </c>
      <c r="J8" s="24">
        <f>0</f>
        <v>0</v>
      </c>
      <c r="K8" s="24">
        <f>0</f>
        <v>0</v>
      </c>
      <c r="L8" s="24">
        <f>0</f>
        <v>0</v>
      </c>
      <c r="M8" s="24">
        <f>0</f>
        <v>0</v>
      </c>
      <c r="N8" s="24">
        <f>0</f>
        <v>0</v>
      </c>
      <c r="O8" s="24">
        <f>0</f>
        <v>0</v>
      </c>
      <c r="P8" s="24">
        <f>0</f>
        <v>0</v>
      </c>
      <c r="Q8" s="24">
        <f>0</f>
        <v>0</v>
      </c>
      <c r="R8" s="24">
        <f>0</f>
        <v>0</v>
      </c>
      <c r="S8" s="24">
        <f>0</f>
        <v>0</v>
      </c>
      <c r="T8" s="24">
        <f>0</f>
        <v>0</v>
      </c>
      <c r="U8" s="24">
        <f>0</f>
        <v>0</v>
      </c>
      <c r="V8" s="24">
        <f>0</f>
        <v>0</v>
      </c>
      <c r="W8" s="24">
        <f>0</f>
        <v>0</v>
      </c>
      <c r="X8" s="24">
        <f>0</f>
        <v>0</v>
      </c>
      <c r="Y8" s="24">
        <f>0</f>
        <v>0</v>
      </c>
      <c r="Z8" s="24">
        <f>0</f>
        <v>0</v>
      </c>
      <c r="AA8" s="24">
        <f>0</f>
        <v>0</v>
      </c>
      <c r="AB8" s="24">
        <f>0</f>
        <v>0</v>
      </c>
      <c r="AC8" s="24">
        <f>0</f>
        <v>0</v>
      </c>
      <c r="AD8" s="24">
        <f>0</f>
        <v>0</v>
      </c>
      <c r="AE8" s="24">
        <f>0</f>
        <v>0</v>
      </c>
      <c r="AF8" s="24">
        <f>0</f>
        <v>0</v>
      </c>
      <c r="AG8" s="24">
        <f>0</f>
        <v>0</v>
      </c>
      <c r="AH8" s="24">
        <f>0</f>
        <v>0</v>
      </c>
      <c r="AI8" s="24">
        <f>0</f>
        <v>0</v>
      </c>
      <c r="AJ8" s="24">
        <f>0</f>
        <v>0</v>
      </c>
      <c r="AK8" s="24">
        <f>0</f>
        <v>0</v>
      </c>
      <c r="AL8" s="24">
        <f>0</f>
        <v>0</v>
      </c>
      <c r="AM8" s="24">
        <f>0</f>
        <v>0</v>
      </c>
      <c r="AN8" s="24">
        <f>0</f>
        <v>0</v>
      </c>
      <c r="AO8" s="24">
        <f>0</f>
        <v>0</v>
      </c>
      <c r="AP8" s="24">
        <f>0</f>
        <v>0</v>
      </c>
      <c r="AQ8" s="24">
        <f>0</f>
        <v>0</v>
      </c>
      <c r="AR8" s="24">
        <f>0</f>
        <v>0</v>
      </c>
      <c r="AS8" s="24">
        <f>0</f>
        <v>0</v>
      </c>
      <c r="AT8" s="24">
        <f>0</f>
        <v>0</v>
      </c>
      <c r="AU8" s="24">
        <f>0</f>
        <v>0</v>
      </c>
      <c r="AV8" s="24">
        <f>0</f>
        <v>0</v>
      </c>
      <c r="AW8" s="24">
        <f>0</f>
        <v>0</v>
      </c>
      <c r="AX8" s="24">
        <f>0</f>
        <v>0</v>
      </c>
      <c r="AY8" s="24">
        <f>0</f>
        <v>0</v>
      </c>
      <c r="AZ8" s="24">
        <f>0</f>
        <v>0</v>
      </c>
      <c r="BA8" s="24">
        <f>0</f>
        <v>0</v>
      </c>
      <c r="BB8" s="24">
        <f>0</f>
        <v>0</v>
      </c>
      <c r="BC8" s="24">
        <f>0</f>
        <v>0</v>
      </c>
      <c r="BD8" s="24">
        <f>0</f>
        <v>0</v>
      </c>
      <c r="BE8" s="24">
        <f>0</f>
        <v>0</v>
      </c>
      <c r="BF8" s="24">
        <f>0</f>
        <v>0</v>
      </c>
      <c r="BG8" s="24">
        <f>0</f>
        <v>0</v>
      </c>
      <c r="BH8" s="24">
        <f>0</f>
        <v>0</v>
      </c>
      <c r="BI8" s="24">
        <f>0</f>
        <v>0</v>
      </c>
      <c r="BJ8" s="24">
        <f>0</f>
        <v>0</v>
      </c>
      <c r="BK8" s="24">
        <f>IFERROR(LOOKUP(2,1/((YEAR(EDATE(Controls!$B$6,COLUMN($C$1:$BJ$1)-COLUMN($C$1)))=YEAR(Controls!$B$6)+0)*(COLUMN($C$1:$BJ$1)-COLUMN($C$1)&lt;Controls!$B$7)),$C$8:$BJ$8),0)</f>
        <v>0</v>
      </c>
      <c r="BL8" s="24">
        <f>IFERROR(LOOKUP(2,1/((YEAR(EDATE(Controls!$B$6,COLUMN($C$1:$BJ$1)-COLUMN($C$1)))=YEAR(Controls!$B$6)+1)*(COLUMN($C$1:$BJ$1)-COLUMN($C$1)&lt;Controls!$B$7)),$C$8:$BJ$8),0)</f>
        <v>0</v>
      </c>
      <c r="BM8" s="24">
        <f>IFERROR(LOOKUP(2,1/((YEAR(EDATE(Controls!$B$6,COLUMN($C$1:$BJ$1)-COLUMN($C$1)))=YEAR(Controls!$B$6)+2)*(COLUMN($C$1:$BJ$1)-COLUMN($C$1)&lt;Controls!$B$7)),$C$8:$BJ$8),0)</f>
        <v>0</v>
      </c>
      <c r="BN8" s="24">
        <f>IFERROR(LOOKUP(2,1/((YEAR(EDATE(Controls!$B$6,COLUMN($C$1:$BJ$1)-COLUMN($C$1)))=YEAR(Controls!$B$6)+3)*(COLUMN($C$1:$BJ$1)-COLUMN($C$1)&lt;Controls!$B$7)),$C$8:$BJ$8),0)</f>
        <v>0</v>
      </c>
      <c r="BO8" s="24">
        <f>IFERROR(LOOKUP(2,1/((YEAR(EDATE(Controls!$B$6,COLUMN($C$1:$BJ$1)-COLUMN($C$1)))=YEAR(Controls!$B$6)+4)*(COLUMN($C$1:$BJ$1)-COLUMN($C$1)&lt;Controls!$B$7)),$C$8:$BJ$8),0)</f>
        <v>0</v>
      </c>
      <c r="BP8" s="24">
        <f>IFERROR(LOOKUP(2,1/((YEAR(EDATE(Controls!$B$6,COLUMN($C$1:$BJ$1)-COLUMN($C$1)))=YEAR(Controls!$B$6)+5)*(COLUMN($C$1:$BJ$1)-COLUMN($C$1)&lt;Controls!$B$7)),$C$8:$BJ$8),0)</f>
        <v>0</v>
      </c>
    </row>
    <row r="9" spans="1:68" x14ac:dyDescent="0.35">
      <c r="A9" s="6" t="s">
        <v>307</v>
      </c>
      <c r="B9" s="20" t="s">
        <v>124</v>
      </c>
      <c r="C9" s="24">
        <f t="shared" ref="C9:AH9" si="0">C6+C7+C8</f>
        <v>998807.16839999997</v>
      </c>
      <c r="D9" s="24">
        <f t="shared" si="0"/>
        <v>1006679.7873891999</v>
      </c>
      <c r="E9" s="24">
        <f t="shared" si="0"/>
        <v>1063096.6475165435</v>
      </c>
      <c r="F9" s="24">
        <f t="shared" si="0"/>
        <v>1169495.8686999574</v>
      </c>
      <c r="G9" s="24">
        <f t="shared" si="0"/>
        <v>1331278.5844996737</v>
      </c>
      <c r="H9" s="24">
        <f t="shared" si="0"/>
        <v>1546121.7385952403</v>
      </c>
      <c r="I9" s="24">
        <f t="shared" si="0"/>
        <v>1810456.0767415236</v>
      </c>
      <c r="J9" s="24">
        <f t="shared" si="0"/>
        <v>2132023.6630259724</v>
      </c>
      <c r="K9" s="24">
        <f t="shared" si="0"/>
        <v>2510530.2467983784</v>
      </c>
      <c r="L9" s="24">
        <f t="shared" si="0"/>
        <v>2951354.5753634311</v>
      </c>
      <c r="M9" s="24">
        <f t="shared" si="0"/>
        <v>3455830.1675362829</v>
      </c>
      <c r="N9" s="24">
        <f t="shared" si="0"/>
        <v>4029158.2042975002</v>
      </c>
      <c r="O9" s="24">
        <f t="shared" si="0"/>
        <v>4669105.8233690187</v>
      </c>
      <c r="P9" s="24">
        <f t="shared" si="0"/>
        <v>5379836.2236599578</v>
      </c>
      <c r="Q9" s="24">
        <f t="shared" si="0"/>
        <v>6171980.6889816877</v>
      </c>
      <c r="R9" s="24">
        <f t="shared" si="0"/>
        <v>7051892.5160222463</v>
      </c>
      <c r="S9" s="24">
        <f t="shared" si="0"/>
        <v>8021309.7353420164</v>
      </c>
      <c r="T9" s="24">
        <f t="shared" si="0"/>
        <v>9086862.6844634917</v>
      </c>
      <c r="U9" s="24">
        <f t="shared" si="0"/>
        <v>10254861.332452964</v>
      </c>
      <c r="V9" s="24">
        <f t="shared" si="0"/>
        <v>11535464.291868757</v>
      </c>
      <c r="W9" s="24">
        <f t="shared" si="0"/>
        <v>12935856.632709062</v>
      </c>
      <c r="X9" s="24">
        <f t="shared" si="0"/>
        <v>14462436.33150721</v>
      </c>
      <c r="Y9" s="24">
        <f t="shared" si="0"/>
        <v>16123055.665109225</v>
      </c>
      <c r="Z9" s="24">
        <f t="shared" si="0"/>
        <v>17924743.554893311</v>
      </c>
      <c r="AA9" s="24">
        <f t="shared" si="0"/>
        <v>19869717.723319162</v>
      </c>
      <c r="AB9" s="24">
        <f t="shared" si="0"/>
        <v>21966607.111502226</v>
      </c>
      <c r="AC9" s="24">
        <f t="shared" si="0"/>
        <v>24239813.217963357</v>
      </c>
      <c r="AD9" s="24">
        <f t="shared" si="0"/>
        <v>26698222.512381885</v>
      </c>
      <c r="AE9" s="24">
        <f t="shared" si="0"/>
        <v>29354175.002040152</v>
      </c>
      <c r="AF9" s="24">
        <f t="shared" si="0"/>
        <v>32221036.626042213</v>
      </c>
      <c r="AG9" s="24">
        <f t="shared" si="0"/>
        <v>35312234.088927619</v>
      </c>
      <c r="AH9" s="24">
        <f t="shared" si="0"/>
        <v>38642769.797521196</v>
      </c>
      <c r="AI9" s="24">
        <f t="shared" ref="AI9:BJ9" si="1">AI6+AI7+AI8</f>
        <v>42230007.014485881</v>
      </c>
      <c r="AJ9" s="24">
        <f t="shared" si="1"/>
        <v>46088820.322676174</v>
      </c>
      <c r="AK9" s="24">
        <f t="shared" si="1"/>
        <v>50238240.992652707</v>
      </c>
      <c r="AL9" s="24">
        <f t="shared" si="1"/>
        <v>54697998.915414721</v>
      </c>
      <c r="AM9" s="24">
        <f t="shared" si="1"/>
        <v>59150344.691018872</v>
      </c>
      <c r="AN9" s="24">
        <f t="shared" si="1"/>
        <v>63616708.349199891</v>
      </c>
      <c r="AO9" s="24">
        <f t="shared" si="1"/>
        <v>68040885.909145504</v>
      </c>
      <c r="AP9" s="24">
        <f t="shared" si="1"/>
        <v>72427496.885658458</v>
      </c>
      <c r="AQ9" s="24">
        <f t="shared" si="1"/>
        <v>76780400.222740978</v>
      </c>
      <c r="AR9" s="24">
        <f t="shared" si="1"/>
        <v>81104272.345439419</v>
      </c>
      <c r="AS9" s="24">
        <f t="shared" si="1"/>
        <v>85402539.235235661</v>
      </c>
      <c r="AT9" s="24">
        <f t="shared" si="1"/>
        <v>89678667.029161304</v>
      </c>
      <c r="AU9" s="24">
        <f t="shared" si="1"/>
        <v>93935469.46995987</v>
      </c>
      <c r="AV9" s="24">
        <f t="shared" si="1"/>
        <v>98176676.160912022</v>
      </c>
      <c r="AW9" s="24">
        <f t="shared" si="1"/>
        <v>102407693.43531874</v>
      </c>
      <c r="AX9" s="24">
        <f t="shared" si="1"/>
        <v>106631254.25611512</v>
      </c>
      <c r="AY9" s="24">
        <f t="shared" si="1"/>
        <v>110850091.25148283</v>
      </c>
      <c r="AZ9" s="24">
        <f t="shared" si="1"/>
        <v>115066462.18730508</v>
      </c>
      <c r="BA9" s="24">
        <f t="shared" si="1"/>
        <v>119282712.73343176</v>
      </c>
      <c r="BB9" s="24">
        <f t="shared" si="1"/>
        <v>123499908.72338302</v>
      </c>
      <c r="BC9" s="24">
        <f t="shared" si="1"/>
        <v>127720687.7911388</v>
      </c>
      <c r="BD9" s="24">
        <f t="shared" si="1"/>
        <v>131945939.70654246</v>
      </c>
      <c r="BE9" s="24">
        <f t="shared" si="1"/>
        <v>136178143.76301086</v>
      </c>
      <c r="BF9" s="24">
        <f t="shared" si="1"/>
        <v>140419220.423154</v>
      </c>
      <c r="BG9" s="24">
        <f t="shared" si="1"/>
        <v>144669708.95721883</v>
      </c>
      <c r="BH9" s="24">
        <f t="shared" si="1"/>
        <v>148931906.03604275</v>
      </c>
      <c r="BI9" s="24">
        <f t="shared" si="1"/>
        <v>153206883.55669728</v>
      </c>
      <c r="BJ9" s="24">
        <f t="shared" si="1"/>
        <v>157495872.85157287</v>
      </c>
      <c r="BK9" s="24">
        <f>IFERROR(LOOKUP(2,1/((YEAR(EDATE(Controls!$B$6,COLUMN($C$1:$BJ$1)-COLUMN($C$1)))=YEAR(Controls!$B$6)+0)*(COLUMN($C$1:$BJ$1)-COLUMN($C$1)&lt;Controls!$B$7)),$C$9:$BJ$9),0)</f>
        <v>4029158.2042975002</v>
      </c>
      <c r="BL9" s="24">
        <f>IFERROR(LOOKUP(2,1/((YEAR(EDATE(Controls!$B$6,COLUMN($C$1:$BJ$1)-COLUMN($C$1)))=YEAR(Controls!$B$6)+1)*(COLUMN($C$1:$BJ$1)-COLUMN($C$1)&lt;Controls!$B$7)),$C$9:$BJ$9),0)</f>
        <v>17924743.554893311</v>
      </c>
      <c r="BM9" s="24">
        <f>IFERROR(LOOKUP(2,1/((YEAR(EDATE(Controls!$B$6,COLUMN($C$1:$BJ$1)-COLUMN($C$1)))=YEAR(Controls!$B$6)+2)*(COLUMN($C$1:$BJ$1)-COLUMN($C$1)&lt;Controls!$B$7)),$C$9:$BJ$9),0)</f>
        <v>54697998.915414721</v>
      </c>
      <c r="BN9" s="24">
        <f>IFERROR(LOOKUP(2,1/((YEAR(EDATE(Controls!$B$6,COLUMN($C$1:$BJ$1)-COLUMN($C$1)))=YEAR(Controls!$B$6)+3)*(COLUMN($C$1:$BJ$1)-COLUMN($C$1)&lt;Controls!$B$7)),$C$9:$BJ$9),0)</f>
        <v>0</v>
      </c>
      <c r="BO9" s="24">
        <f>IFERROR(LOOKUP(2,1/((YEAR(EDATE(Controls!$B$6,COLUMN($C$1:$BJ$1)-COLUMN($C$1)))=YEAR(Controls!$B$6)+4)*(COLUMN($C$1:$BJ$1)-COLUMN($C$1)&lt;Controls!$B$7)),$C$9:$BJ$9),0)</f>
        <v>0</v>
      </c>
      <c r="BP9" s="24">
        <f>IFERROR(LOOKUP(2,1/((YEAR(EDATE(Controls!$B$6,COLUMN($C$1:$BJ$1)-COLUMN($C$1)))=YEAR(Controls!$B$6)+5)*(COLUMN($C$1:$BJ$1)-COLUMN($C$1)&lt;Controls!$B$7)),$C$9:$BJ$9),0)</f>
        <v>0</v>
      </c>
    </row>
    <row r="11" spans="1:68" x14ac:dyDescent="0.35">
      <c r="A11" s="15" t="s">
        <v>308</v>
      </c>
      <c r="B11" s="20" t="s">
        <v>124</v>
      </c>
      <c r="C11" s="24">
        <f>OpEx!C26</f>
        <v>0</v>
      </c>
      <c r="D11" s="24">
        <f>C11+OpEx!D26</f>
        <v>0</v>
      </c>
      <c r="E11" s="24">
        <f>D11+OpEx!E26</f>
        <v>0</v>
      </c>
      <c r="F11" s="24">
        <f>E11+OpEx!F26</f>
        <v>0</v>
      </c>
      <c r="G11" s="24">
        <f>F11+OpEx!G26</f>
        <v>0</v>
      </c>
      <c r="H11" s="24">
        <f>G11+OpEx!H26</f>
        <v>0</v>
      </c>
      <c r="I11" s="24">
        <f>H11+OpEx!I26</f>
        <v>5000</v>
      </c>
      <c r="J11" s="24">
        <f>I11+OpEx!J26</f>
        <v>5000</v>
      </c>
      <c r="K11" s="24">
        <f>J11+OpEx!K26</f>
        <v>5000</v>
      </c>
      <c r="L11" s="24">
        <f>K11+OpEx!L26</f>
        <v>5000</v>
      </c>
      <c r="M11" s="24">
        <f>L11+OpEx!M26</f>
        <v>5000</v>
      </c>
      <c r="N11" s="24">
        <f>M11+OpEx!N26</f>
        <v>5000</v>
      </c>
      <c r="O11" s="24">
        <f>N11+OpEx!O26</f>
        <v>5000</v>
      </c>
      <c r="P11" s="24">
        <f>O11+OpEx!P26</f>
        <v>5000</v>
      </c>
      <c r="Q11" s="24">
        <f>P11+OpEx!Q26</f>
        <v>5000</v>
      </c>
      <c r="R11" s="24">
        <f>Q11+OpEx!R26</f>
        <v>5000</v>
      </c>
      <c r="S11" s="24">
        <f>R11+OpEx!S26</f>
        <v>5000</v>
      </c>
      <c r="T11" s="24">
        <f>S11+OpEx!T26</f>
        <v>5000</v>
      </c>
      <c r="U11" s="24">
        <f>T11+OpEx!U26</f>
        <v>5000</v>
      </c>
      <c r="V11" s="24">
        <f>U11+OpEx!V26</f>
        <v>5000</v>
      </c>
      <c r="W11" s="24">
        <f>V11+OpEx!W26</f>
        <v>5000</v>
      </c>
      <c r="X11" s="24">
        <f>W11+OpEx!X26</f>
        <v>5000</v>
      </c>
      <c r="Y11" s="24">
        <f>X11+OpEx!Y26</f>
        <v>5000</v>
      </c>
      <c r="Z11" s="24">
        <f>Y11+OpEx!Z26</f>
        <v>5000</v>
      </c>
      <c r="AA11" s="24">
        <f>Z11+OpEx!AA26</f>
        <v>5000</v>
      </c>
      <c r="AB11" s="24">
        <f>AA11+OpEx!AB26</f>
        <v>5000</v>
      </c>
      <c r="AC11" s="24">
        <f>AB11+OpEx!AC26</f>
        <v>5000</v>
      </c>
      <c r="AD11" s="24">
        <f>AC11+OpEx!AD26</f>
        <v>5000</v>
      </c>
      <c r="AE11" s="24">
        <f>AD11+OpEx!AE26</f>
        <v>5000</v>
      </c>
      <c r="AF11" s="24">
        <f>AE11+OpEx!AF26</f>
        <v>5000</v>
      </c>
      <c r="AG11" s="24">
        <f>AF11+OpEx!AG26</f>
        <v>5000</v>
      </c>
      <c r="AH11" s="24">
        <f>AG11+OpEx!AH26</f>
        <v>5000</v>
      </c>
      <c r="AI11" s="24">
        <f>AH11+OpEx!AI26</f>
        <v>5000</v>
      </c>
      <c r="AJ11" s="24">
        <f>AI11+OpEx!AJ26</f>
        <v>5000</v>
      </c>
      <c r="AK11" s="24">
        <f>AJ11+OpEx!AK26</f>
        <v>5000</v>
      </c>
      <c r="AL11" s="24">
        <f>AK11+OpEx!AL26</f>
        <v>5000</v>
      </c>
      <c r="AM11" s="24">
        <f>AL11+OpEx!AM26</f>
        <v>5000</v>
      </c>
      <c r="AN11" s="24">
        <f>AM11+OpEx!AN26</f>
        <v>5000</v>
      </c>
      <c r="AO11" s="24">
        <f>AN11+OpEx!AO26</f>
        <v>5000</v>
      </c>
      <c r="AP11" s="24">
        <f>AO11+OpEx!AP26</f>
        <v>5000</v>
      </c>
      <c r="AQ11" s="24">
        <f>AP11+OpEx!AQ26</f>
        <v>5000</v>
      </c>
      <c r="AR11" s="24">
        <f>AQ11+OpEx!AR26</f>
        <v>5000</v>
      </c>
      <c r="AS11" s="24">
        <f>AR11+OpEx!AS26</f>
        <v>5000</v>
      </c>
      <c r="AT11" s="24">
        <f>AS11+OpEx!AT26</f>
        <v>5000</v>
      </c>
      <c r="AU11" s="24">
        <f>AT11+OpEx!AU26</f>
        <v>5000</v>
      </c>
      <c r="AV11" s="24">
        <f>AU11+OpEx!AV26</f>
        <v>5000</v>
      </c>
      <c r="AW11" s="24">
        <f>AV11+OpEx!AW26</f>
        <v>5000</v>
      </c>
      <c r="AX11" s="24">
        <f>AW11+OpEx!AX26</f>
        <v>5000</v>
      </c>
      <c r="AY11" s="24">
        <f>AX11+OpEx!AY26</f>
        <v>5000</v>
      </c>
      <c r="AZ11" s="24">
        <f>AY11+OpEx!AZ26</f>
        <v>5000</v>
      </c>
      <c r="BA11" s="24">
        <f>AZ11+OpEx!BA26</f>
        <v>5000</v>
      </c>
      <c r="BB11" s="24">
        <f>BA11+OpEx!BB26</f>
        <v>5000</v>
      </c>
      <c r="BC11" s="24">
        <f>BB11+OpEx!BC26</f>
        <v>5000</v>
      </c>
      <c r="BD11" s="24">
        <f>BC11+OpEx!BD26</f>
        <v>5000</v>
      </c>
      <c r="BE11" s="24">
        <f>BD11+OpEx!BE26</f>
        <v>5000</v>
      </c>
      <c r="BF11" s="24">
        <f>BE11+OpEx!BF26</f>
        <v>5000</v>
      </c>
      <c r="BG11" s="24">
        <f>BF11+OpEx!BG26</f>
        <v>5000</v>
      </c>
      <c r="BH11" s="24">
        <f>BG11+OpEx!BH26</f>
        <v>5000</v>
      </c>
      <c r="BI11" s="24">
        <f>BH11+OpEx!BI26</f>
        <v>5000</v>
      </c>
      <c r="BJ11" s="24">
        <f>BI11+OpEx!BJ26</f>
        <v>5000</v>
      </c>
      <c r="BK11" s="24">
        <f>IFERROR(LOOKUP(2,1/((YEAR(EDATE(Controls!$B$6,COLUMN($C$1:$BJ$1)-COLUMN($C$1)))=YEAR(Controls!$B$6)+0)*(COLUMN($C$1:$BJ$1)-COLUMN($C$1)&lt;Controls!$B$7)),$C$11:$BJ$11),0)</f>
        <v>5000</v>
      </c>
      <c r="BL11" s="24">
        <f>IFERROR(LOOKUP(2,1/((YEAR(EDATE(Controls!$B$6,COLUMN($C$1:$BJ$1)-COLUMN($C$1)))=YEAR(Controls!$B$6)+1)*(COLUMN($C$1:$BJ$1)-COLUMN($C$1)&lt;Controls!$B$7)),$C$11:$BJ$11),0)</f>
        <v>5000</v>
      </c>
      <c r="BM11" s="24">
        <f>IFERROR(LOOKUP(2,1/((YEAR(EDATE(Controls!$B$6,COLUMN($C$1:$BJ$1)-COLUMN($C$1)))=YEAR(Controls!$B$6)+2)*(COLUMN($C$1:$BJ$1)-COLUMN($C$1)&lt;Controls!$B$7)),$C$11:$BJ$11),0)</f>
        <v>5000</v>
      </c>
      <c r="BN11" s="24">
        <f>IFERROR(LOOKUP(2,1/((YEAR(EDATE(Controls!$B$6,COLUMN($C$1:$BJ$1)-COLUMN($C$1)))=YEAR(Controls!$B$6)+3)*(COLUMN($C$1:$BJ$1)-COLUMN($C$1)&lt;Controls!$B$7)),$C$11:$BJ$11),0)</f>
        <v>0</v>
      </c>
      <c r="BO11" s="24">
        <f>IFERROR(LOOKUP(2,1/((YEAR(EDATE(Controls!$B$6,COLUMN($C$1:$BJ$1)-COLUMN($C$1)))=YEAR(Controls!$B$6)+4)*(COLUMN($C$1:$BJ$1)-COLUMN($C$1)&lt;Controls!$B$7)),$C$11:$BJ$11),0)</f>
        <v>0</v>
      </c>
      <c r="BP11" s="24">
        <f>IFERROR(LOOKUP(2,1/((YEAR(EDATE(Controls!$B$6,COLUMN($C$1:$BJ$1)-COLUMN($C$1)))=YEAR(Controls!$B$6)+5)*(COLUMN($C$1:$BJ$1)-COLUMN($C$1)&lt;Controls!$B$7)),$C$11:$BJ$11),0)</f>
        <v>0</v>
      </c>
    </row>
    <row r="12" spans="1:68" x14ac:dyDescent="0.35">
      <c r="A12" s="15" t="s">
        <v>309</v>
      </c>
      <c r="B12" s="20" t="s">
        <v>124</v>
      </c>
      <c r="C12" s="24">
        <f>-OpEx!C27</f>
        <v>0</v>
      </c>
      <c r="D12" s="24">
        <f>C12-OpEx!D27</f>
        <v>0</v>
      </c>
      <c r="E12" s="24">
        <f>D12-OpEx!E27</f>
        <v>0</v>
      </c>
      <c r="F12" s="24">
        <f>E12-OpEx!F27</f>
        <v>0</v>
      </c>
      <c r="G12" s="24">
        <f>F12-OpEx!G27</f>
        <v>0</v>
      </c>
      <c r="H12" s="24">
        <f>G12-OpEx!H27</f>
        <v>0</v>
      </c>
      <c r="I12" s="24">
        <f>H12-OpEx!I27</f>
        <v>-138.88888888888889</v>
      </c>
      <c r="J12" s="24">
        <f>I12-OpEx!J27</f>
        <v>-138.88888888888889</v>
      </c>
      <c r="K12" s="24">
        <f>J12-OpEx!K27</f>
        <v>-138.88888888888889</v>
      </c>
      <c r="L12" s="24">
        <f>K12-OpEx!L27</f>
        <v>-138.88888888888889</v>
      </c>
      <c r="M12" s="24">
        <f>L12-OpEx!M27</f>
        <v>-138.88888888888889</v>
      </c>
      <c r="N12" s="24">
        <f>M12-OpEx!N27</f>
        <v>-138.88888888888889</v>
      </c>
      <c r="O12" s="24">
        <f>N12-OpEx!O27</f>
        <v>-138.88888888888889</v>
      </c>
      <c r="P12" s="24">
        <f>O12-OpEx!P27</f>
        <v>-138.88888888888889</v>
      </c>
      <c r="Q12" s="24">
        <f>P12-OpEx!Q27</f>
        <v>-138.88888888888889</v>
      </c>
      <c r="R12" s="24">
        <f>Q12-OpEx!R27</f>
        <v>-138.88888888888889</v>
      </c>
      <c r="S12" s="24">
        <f>R12-OpEx!S27</f>
        <v>-138.88888888888889</v>
      </c>
      <c r="T12" s="24">
        <f>S12-OpEx!T27</f>
        <v>-138.88888888888889</v>
      </c>
      <c r="U12" s="24">
        <f>T12-OpEx!U27</f>
        <v>-138.88888888888889</v>
      </c>
      <c r="V12" s="24">
        <f>U12-OpEx!V27</f>
        <v>-138.88888888888889</v>
      </c>
      <c r="W12" s="24">
        <f>V12-OpEx!W27</f>
        <v>-138.88888888888889</v>
      </c>
      <c r="X12" s="24">
        <f>W12-OpEx!X27</f>
        <v>-138.88888888888889</v>
      </c>
      <c r="Y12" s="24">
        <f>X12-OpEx!Y27</f>
        <v>-138.88888888888889</v>
      </c>
      <c r="Z12" s="24">
        <f>Y12-OpEx!Z27</f>
        <v>-138.88888888888889</v>
      </c>
      <c r="AA12" s="24">
        <f>Z12-OpEx!AA27</f>
        <v>-138.88888888888889</v>
      </c>
      <c r="AB12" s="24">
        <f>AA12-OpEx!AB27</f>
        <v>-138.88888888888889</v>
      </c>
      <c r="AC12" s="24">
        <f>AB12-OpEx!AC27</f>
        <v>-138.88888888888889</v>
      </c>
      <c r="AD12" s="24">
        <f>AC12-OpEx!AD27</f>
        <v>-138.88888888888889</v>
      </c>
      <c r="AE12" s="24">
        <f>AD12-OpEx!AE27</f>
        <v>-138.88888888888889</v>
      </c>
      <c r="AF12" s="24">
        <f>AE12-OpEx!AF27</f>
        <v>-138.88888888888889</v>
      </c>
      <c r="AG12" s="24">
        <f>AF12-OpEx!AG27</f>
        <v>-138.88888888888889</v>
      </c>
      <c r="AH12" s="24">
        <f>AG12-OpEx!AH27</f>
        <v>-138.88888888888889</v>
      </c>
      <c r="AI12" s="24">
        <f>AH12-OpEx!AI27</f>
        <v>-138.88888888888889</v>
      </c>
      <c r="AJ12" s="24">
        <f>AI12-OpEx!AJ27</f>
        <v>-138.88888888888889</v>
      </c>
      <c r="AK12" s="24">
        <f>AJ12-OpEx!AK27</f>
        <v>-138.88888888888889</v>
      </c>
      <c r="AL12" s="24">
        <f>AK12-OpEx!AL27</f>
        <v>-138.88888888888889</v>
      </c>
      <c r="AM12" s="24">
        <f>AL12-OpEx!AM27</f>
        <v>-138.88888888888889</v>
      </c>
      <c r="AN12" s="24">
        <f>AM12-OpEx!AN27</f>
        <v>-138.88888888888889</v>
      </c>
      <c r="AO12" s="24">
        <f>AN12-OpEx!AO27</f>
        <v>-138.88888888888889</v>
      </c>
      <c r="AP12" s="24">
        <f>AO12-OpEx!AP27</f>
        <v>-138.88888888888889</v>
      </c>
      <c r="AQ12" s="24">
        <f>AP12-OpEx!AQ27</f>
        <v>-138.88888888888889</v>
      </c>
      <c r="AR12" s="24">
        <f>AQ12-OpEx!AR27</f>
        <v>-138.88888888888889</v>
      </c>
      <c r="AS12" s="24">
        <f>AR12-OpEx!AS27</f>
        <v>-138.88888888888889</v>
      </c>
      <c r="AT12" s="24">
        <f>AS12-OpEx!AT27</f>
        <v>-138.88888888888889</v>
      </c>
      <c r="AU12" s="24">
        <f>AT12-OpEx!AU27</f>
        <v>-138.88888888888889</v>
      </c>
      <c r="AV12" s="24">
        <f>AU12-OpEx!AV27</f>
        <v>-138.88888888888889</v>
      </c>
      <c r="AW12" s="24">
        <f>AV12-OpEx!AW27</f>
        <v>-138.88888888888889</v>
      </c>
      <c r="AX12" s="24">
        <f>AW12-OpEx!AX27</f>
        <v>-138.88888888888889</v>
      </c>
      <c r="AY12" s="24">
        <f>AX12-OpEx!AY27</f>
        <v>-138.88888888888889</v>
      </c>
      <c r="AZ12" s="24">
        <f>AY12-OpEx!AZ27</f>
        <v>-138.88888888888889</v>
      </c>
      <c r="BA12" s="24">
        <f>AZ12-OpEx!BA27</f>
        <v>-138.88888888888889</v>
      </c>
      <c r="BB12" s="24">
        <f>BA12-OpEx!BB27</f>
        <v>-138.88888888888889</v>
      </c>
      <c r="BC12" s="24">
        <f>BB12-OpEx!BC27</f>
        <v>-138.88888888888889</v>
      </c>
      <c r="BD12" s="24">
        <f>BC12-OpEx!BD27</f>
        <v>-138.88888888888889</v>
      </c>
      <c r="BE12" s="24">
        <f>BD12-OpEx!BE27</f>
        <v>-138.88888888888889</v>
      </c>
      <c r="BF12" s="24">
        <f>BE12-OpEx!BF27</f>
        <v>-138.88888888888889</v>
      </c>
      <c r="BG12" s="24">
        <f>BF12-OpEx!BG27</f>
        <v>-138.88888888888889</v>
      </c>
      <c r="BH12" s="24">
        <f>BG12-OpEx!BH27</f>
        <v>-138.88888888888889</v>
      </c>
      <c r="BI12" s="24">
        <f>BH12-OpEx!BI27</f>
        <v>-138.88888888888889</v>
      </c>
      <c r="BJ12" s="24">
        <f>BI12-OpEx!BJ27</f>
        <v>-138.88888888888889</v>
      </c>
      <c r="BK12" s="24">
        <f>IFERROR(LOOKUP(2,1/((YEAR(EDATE(Controls!$B$6,COLUMN($C$1:$BJ$1)-COLUMN($C$1)))=YEAR(Controls!$B$6)+0)*(COLUMN($C$1:$BJ$1)-COLUMN($C$1)&lt;Controls!$B$7)),$C$12:$BJ$12),0)</f>
        <v>-138.88888888888889</v>
      </c>
      <c r="BL12" s="24">
        <f>IFERROR(LOOKUP(2,1/((YEAR(EDATE(Controls!$B$6,COLUMN($C$1:$BJ$1)-COLUMN($C$1)))=YEAR(Controls!$B$6)+1)*(COLUMN($C$1:$BJ$1)-COLUMN($C$1)&lt;Controls!$B$7)),$C$12:$BJ$12),0)</f>
        <v>-138.88888888888889</v>
      </c>
      <c r="BM12" s="24">
        <f>IFERROR(LOOKUP(2,1/((YEAR(EDATE(Controls!$B$6,COLUMN($C$1:$BJ$1)-COLUMN($C$1)))=YEAR(Controls!$B$6)+2)*(COLUMN($C$1:$BJ$1)-COLUMN($C$1)&lt;Controls!$B$7)),$C$12:$BJ$12),0)</f>
        <v>-138.88888888888889</v>
      </c>
      <c r="BN12" s="24">
        <f>IFERROR(LOOKUP(2,1/((YEAR(EDATE(Controls!$B$6,COLUMN($C$1:$BJ$1)-COLUMN($C$1)))=YEAR(Controls!$B$6)+3)*(COLUMN($C$1:$BJ$1)-COLUMN($C$1)&lt;Controls!$B$7)),$C$12:$BJ$12),0)</f>
        <v>0</v>
      </c>
      <c r="BO12" s="24">
        <f>IFERROR(LOOKUP(2,1/((YEAR(EDATE(Controls!$B$6,COLUMN($C$1:$BJ$1)-COLUMN($C$1)))=YEAR(Controls!$B$6)+4)*(COLUMN($C$1:$BJ$1)-COLUMN($C$1)&lt;Controls!$B$7)),$C$12:$BJ$12),0)</f>
        <v>0</v>
      </c>
      <c r="BP12" s="24">
        <f>IFERROR(LOOKUP(2,1/((YEAR(EDATE(Controls!$B$6,COLUMN($C$1:$BJ$1)-COLUMN($C$1)))=YEAR(Controls!$B$6)+5)*(COLUMN($C$1:$BJ$1)-COLUMN($C$1)&lt;Controls!$B$7)),$C$12:$BJ$12),0)</f>
        <v>0</v>
      </c>
    </row>
    <row r="13" spans="1:68" x14ac:dyDescent="0.35">
      <c r="A13" s="6" t="s">
        <v>310</v>
      </c>
      <c r="B13" s="20" t="s">
        <v>124</v>
      </c>
      <c r="C13" s="24">
        <f t="shared" ref="C13:AH13" si="2">C11+C12</f>
        <v>0</v>
      </c>
      <c r="D13" s="24">
        <f t="shared" si="2"/>
        <v>0</v>
      </c>
      <c r="E13" s="24">
        <f t="shared" si="2"/>
        <v>0</v>
      </c>
      <c r="F13" s="24">
        <f t="shared" si="2"/>
        <v>0</v>
      </c>
      <c r="G13" s="24">
        <f t="shared" si="2"/>
        <v>0</v>
      </c>
      <c r="H13" s="24">
        <f t="shared" si="2"/>
        <v>0</v>
      </c>
      <c r="I13" s="24">
        <f t="shared" si="2"/>
        <v>4861.1111111111113</v>
      </c>
      <c r="J13" s="24">
        <f t="shared" si="2"/>
        <v>4861.1111111111113</v>
      </c>
      <c r="K13" s="24">
        <f t="shared" si="2"/>
        <v>4861.1111111111113</v>
      </c>
      <c r="L13" s="24">
        <f t="shared" si="2"/>
        <v>4861.1111111111113</v>
      </c>
      <c r="M13" s="24">
        <f t="shared" si="2"/>
        <v>4861.1111111111113</v>
      </c>
      <c r="N13" s="24">
        <f t="shared" si="2"/>
        <v>4861.1111111111113</v>
      </c>
      <c r="O13" s="24">
        <f t="shared" si="2"/>
        <v>4861.1111111111113</v>
      </c>
      <c r="P13" s="24">
        <f t="shared" si="2"/>
        <v>4861.1111111111113</v>
      </c>
      <c r="Q13" s="24">
        <f t="shared" si="2"/>
        <v>4861.1111111111113</v>
      </c>
      <c r="R13" s="24">
        <f t="shared" si="2"/>
        <v>4861.1111111111113</v>
      </c>
      <c r="S13" s="24">
        <f t="shared" si="2"/>
        <v>4861.1111111111113</v>
      </c>
      <c r="T13" s="24">
        <f t="shared" si="2"/>
        <v>4861.1111111111113</v>
      </c>
      <c r="U13" s="24">
        <f t="shared" si="2"/>
        <v>4861.1111111111113</v>
      </c>
      <c r="V13" s="24">
        <f t="shared" si="2"/>
        <v>4861.1111111111113</v>
      </c>
      <c r="W13" s="24">
        <f t="shared" si="2"/>
        <v>4861.1111111111113</v>
      </c>
      <c r="X13" s="24">
        <f t="shared" si="2"/>
        <v>4861.1111111111113</v>
      </c>
      <c r="Y13" s="24">
        <f t="shared" si="2"/>
        <v>4861.1111111111113</v>
      </c>
      <c r="Z13" s="24">
        <f t="shared" si="2"/>
        <v>4861.1111111111113</v>
      </c>
      <c r="AA13" s="24">
        <f t="shared" si="2"/>
        <v>4861.1111111111113</v>
      </c>
      <c r="AB13" s="24">
        <f t="shared" si="2"/>
        <v>4861.1111111111113</v>
      </c>
      <c r="AC13" s="24">
        <f t="shared" si="2"/>
        <v>4861.1111111111113</v>
      </c>
      <c r="AD13" s="24">
        <f t="shared" si="2"/>
        <v>4861.1111111111113</v>
      </c>
      <c r="AE13" s="24">
        <f t="shared" si="2"/>
        <v>4861.1111111111113</v>
      </c>
      <c r="AF13" s="24">
        <f t="shared" si="2"/>
        <v>4861.1111111111113</v>
      </c>
      <c r="AG13" s="24">
        <f t="shared" si="2"/>
        <v>4861.1111111111113</v>
      </c>
      <c r="AH13" s="24">
        <f t="shared" si="2"/>
        <v>4861.1111111111113</v>
      </c>
      <c r="AI13" s="24">
        <f t="shared" ref="AI13:BJ13" si="3">AI11+AI12</f>
        <v>4861.1111111111113</v>
      </c>
      <c r="AJ13" s="24">
        <f t="shared" si="3"/>
        <v>4861.1111111111113</v>
      </c>
      <c r="AK13" s="24">
        <f t="shared" si="3"/>
        <v>4861.1111111111113</v>
      </c>
      <c r="AL13" s="24">
        <f t="shared" si="3"/>
        <v>4861.1111111111113</v>
      </c>
      <c r="AM13" s="24">
        <f t="shared" si="3"/>
        <v>4861.1111111111113</v>
      </c>
      <c r="AN13" s="24">
        <f t="shared" si="3"/>
        <v>4861.1111111111113</v>
      </c>
      <c r="AO13" s="24">
        <f t="shared" si="3"/>
        <v>4861.1111111111113</v>
      </c>
      <c r="AP13" s="24">
        <f t="shared" si="3"/>
        <v>4861.1111111111113</v>
      </c>
      <c r="AQ13" s="24">
        <f t="shared" si="3"/>
        <v>4861.1111111111113</v>
      </c>
      <c r="AR13" s="24">
        <f t="shared" si="3"/>
        <v>4861.1111111111113</v>
      </c>
      <c r="AS13" s="24">
        <f t="shared" si="3"/>
        <v>4861.1111111111113</v>
      </c>
      <c r="AT13" s="24">
        <f t="shared" si="3"/>
        <v>4861.1111111111113</v>
      </c>
      <c r="AU13" s="24">
        <f t="shared" si="3"/>
        <v>4861.1111111111113</v>
      </c>
      <c r="AV13" s="24">
        <f t="shared" si="3"/>
        <v>4861.1111111111113</v>
      </c>
      <c r="AW13" s="24">
        <f t="shared" si="3"/>
        <v>4861.1111111111113</v>
      </c>
      <c r="AX13" s="24">
        <f t="shared" si="3"/>
        <v>4861.1111111111113</v>
      </c>
      <c r="AY13" s="24">
        <f t="shared" si="3"/>
        <v>4861.1111111111113</v>
      </c>
      <c r="AZ13" s="24">
        <f t="shared" si="3"/>
        <v>4861.1111111111113</v>
      </c>
      <c r="BA13" s="24">
        <f t="shared" si="3"/>
        <v>4861.1111111111113</v>
      </c>
      <c r="BB13" s="24">
        <f t="shared" si="3"/>
        <v>4861.1111111111113</v>
      </c>
      <c r="BC13" s="24">
        <f t="shared" si="3"/>
        <v>4861.1111111111113</v>
      </c>
      <c r="BD13" s="24">
        <f t="shared" si="3"/>
        <v>4861.1111111111113</v>
      </c>
      <c r="BE13" s="24">
        <f t="shared" si="3"/>
        <v>4861.1111111111113</v>
      </c>
      <c r="BF13" s="24">
        <f t="shared" si="3"/>
        <v>4861.1111111111113</v>
      </c>
      <c r="BG13" s="24">
        <f t="shared" si="3"/>
        <v>4861.1111111111113</v>
      </c>
      <c r="BH13" s="24">
        <f t="shared" si="3"/>
        <v>4861.1111111111113</v>
      </c>
      <c r="BI13" s="24">
        <f t="shared" si="3"/>
        <v>4861.1111111111113</v>
      </c>
      <c r="BJ13" s="24">
        <f t="shared" si="3"/>
        <v>4861.1111111111113</v>
      </c>
      <c r="BK13" s="24">
        <f>IFERROR(LOOKUP(2,1/((YEAR(EDATE(Controls!$B$6,COLUMN($C$1:$BJ$1)-COLUMN($C$1)))=YEAR(Controls!$B$6)+0)*(COLUMN($C$1:$BJ$1)-COLUMN($C$1)&lt;Controls!$B$7)),$C$13:$BJ$13),0)</f>
        <v>4861.1111111111113</v>
      </c>
      <c r="BL13" s="24">
        <f>IFERROR(LOOKUP(2,1/((YEAR(EDATE(Controls!$B$6,COLUMN($C$1:$BJ$1)-COLUMN($C$1)))=YEAR(Controls!$B$6)+1)*(COLUMN($C$1:$BJ$1)-COLUMN($C$1)&lt;Controls!$B$7)),$C$13:$BJ$13),0)</f>
        <v>4861.1111111111113</v>
      </c>
      <c r="BM13" s="24">
        <f>IFERROR(LOOKUP(2,1/((YEAR(EDATE(Controls!$B$6,COLUMN($C$1:$BJ$1)-COLUMN($C$1)))=YEAR(Controls!$B$6)+2)*(COLUMN($C$1:$BJ$1)-COLUMN($C$1)&lt;Controls!$B$7)),$C$13:$BJ$13),0)</f>
        <v>4861.1111111111113</v>
      </c>
      <c r="BN13" s="24">
        <f>IFERROR(LOOKUP(2,1/((YEAR(EDATE(Controls!$B$6,COLUMN($C$1:$BJ$1)-COLUMN($C$1)))=YEAR(Controls!$B$6)+3)*(COLUMN($C$1:$BJ$1)-COLUMN($C$1)&lt;Controls!$B$7)),$C$13:$BJ$13),0)</f>
        <v>0</v>
      </c>
      <c r="BO13" s="24">
        <f>IFERROR(LOOKUP(2,1/((YEAR(EDATE(Controls!$B$6,COLUMN($C$1:$BJ$1)-COLUMN($C$1)))=YEAR(Controls!$B$6)+4)*(COLUMN($C$1:$BJ$1)-COLUMN($C$1)&lt;Controls!$B$7)),$C$13:$BJ$13),0)</f>
        <v>0</v>
      </c>
      <c r="BP13" s="24">
        <f>IFERROR(LOOKUP(2,1/((YEAR(EDATE(Controls!$B$6,COLUMN($C$1:$BJ$1)-COLUMN($C$1)))=YEAR(Controls!$B$6)+5)*(COLUMN($C$1:$BJ$1)-COLUMN($C$1)&lt;Controls!$B$7)),$C$13:$BJ$13),0)</f>
        <v>0</v>
      </c>
    </row>
    <row r="14" spans="1:68" x14ac:dyDescent="0.35">
      <c r="A14" s="6" t="s">
        <v>311</v>
      </c>
      <c r="B14" s="20" t="s">
        <v>124</v>
      </c>
      <c r="C14" s="24">
        <f t="shared" ref="C14:AH14" si="4">C9+C13</f>
        <v>998807.16839999997</v>
      </c>
      <c r="D14" s="24">
        <f t="shared" si="4"/>
        <v>1006679.7873891999</v>
      </c>
      <c r="E14" s="24">
        <f t="shared" si="4"/>
        <v>1063096.6475165435</v>
      </c>
      <c r="F14" s="24">
        <f t="shared" si="4"/>
        <v>1169495.8686999574</v>
      </c>
      <c r="G14" s="24">
        <f t="shared" si="4"/>
        <v>1331278.5844996737</v>
      </c>
      <c r="H14" s="24">
        <f t="shared" si="4"/>
        <v>1546121.7385952403</v>
      </c>
      <c r="I14" s="24">
        <f t="shared" si="4"/>
        <v>1815317.1878526346</v>
      </c>
      <c r="J14" s="24">
        <f t="shared" si="4"/>
        <v>2136884.7741370834</v>
      </c>
      <c r="K14" s="24">
        <f t="shared" si="4"/>
        <v>2515391.3579094894</v>
      </c>
      <c r="L14" s="24">
        <f t="shared" si="4"/>
        <v>2956215.6864745421</v>
      </c>
      <c r="M14" s="24">
        <f t="shared" si="4"/>
        <v>3460691.2786473939</v>
      </c>
      <c r="N14" s="24">
        <f t="shared" si="4"/>
        <v>4034019.3154086112</v>
      </c>
      <c r="O14" s="24">
        <f t="shared" si="4"/>
        <v>4673966.9344801297</v>
      </c>
      <c r="P14" s="24">
        <f t="shared" si="4"/>
        <v>5384697.3347710688</v>
      </c>
      <c r="Q14" s="24">
        <f t="shared" si="4"/>
        <v>6176841.8000927987</v>
      </c>
      <c r="R14" s="24">
        <f t="shared" si="4"/>
        <v>7056753.6271333573</v>
      </c>
      <c r="S14" s="24">
        <f t="shared" si="4"/>
        <v>8026170.8464531275</v>
      </c>
      <c r="T14" s="24">
        <f t="shared" si="4"/>
        <v>9091723.7955746036</v>
      </c>
      <c r="U14" s="24">
        <f t="shared" si="4"/>
        <v>10259722.443564076</v>
      </c>
      <c r="V14" s="24">
        <f t="shared" si="4"/>
        <v>11540325.402979869</v>
      </c>
      <c r="W14" s="24">
        <f t="shared" si="4"/>
        <v>12940717.743820174</v>
      </c>
      <c r="X14" s="24">
        <f t="shared" si="4"/>
        <v>14467297.442618322</v>
      </c>
      <c r="Y14" s="24">
        <f t="shared" si="4"/>
        <v>16127916.776220337</v>
      </c>
      <c r="Z14" s="24">
        <f t="shared" si="4"/>
        <v>17929604.666004423</v>
      </c>
      <c r="AA14" s="24">
        <f t="shared" si="4"/>
        <v>19874578.834430274</v>
      </c>
      <c r="AB14" s="24">
        <f t="shared" si="4"/>
        <v>21971468.222613338</v>
      </c>
      <c r="AC14" s="24">
        <f t="shared" si="4"/>
        <v>24244674.329074468</v>
      </c>
      <c r="AD14" s="24">
        <f t="shared" si="4"/>
        <v>26703083.623492997</v>
      </c>
      <c r="AE14" s="24">
        <f t="shared" si="4"/>
        <v>29359036.113151263</v>
      </c>
      <c r="AF14" s="24">
        <f t="shared" si="4"/>
        <v>32225897.737153325</v>
      </c>
      <c r="AG14" s="24">
        <f t="shared" si="4"/>
        <v>35317095.200038731</v>
      </c>
      <c r="AH14" s="24">
        <f t="shared" si="4"/>
        <v>38647630.908632308</v>
      </c>
      <c r="AI14" s="24">
        <f t="shared" ref="AI14:BJ14" si="5">AI9+AI13</f>
        <v>42234868.125596993</v>
      </c>
      <c r="AJ14" s="24">
        <f t="shared" si="5"/>
        <v>46093681.433787286</v>
      </c>
      <c r="AK14" s="24">
        <f t="shared" si="5"/>
        <v>50243102.103763819</v>
      </c>
      <c r="AL14" s="24">
        <f t="shared" si="5"/>
        <v>54702860.026525833</v>
      </c>
      <c r="AM14" s="24">
        <f t="shared" si="5"/>
        <v>59155205.802129984</v>
      </c>
      <c r="AN14" s="24">
        <f t="shared" si="5"/>
        <v>63621569.460311003</v>
      </c>
      <c r="AO14" s="24">
        <f t="shared" si="5"/>
        <v>68045747.020256609</v>
      </c>
      <c r="AP14" s="24">
        <f t="shared" si="5"/>
        <v>72432357.996769562</v>
      </c>
      <c r="AQ14" s="24">
        <f t="shared" si="5"/>
        <v>76785261.333852082</v>
      </c>
      <c r="AR14" s="24">
        <f t="shared" si="5"/>
        <v>81109133.456550524</v>
      </c>
      <c r="AS14" s="24">
        <f t="shared" si="5"/>
        <v>85407400.346346766</v>
      </c>
      <c r="AT14" s="24">
        <f t="shared" si="5"/>
        <v>89683528.140272409</v>
      </c>
      <c r="AU14" s="24">
        <f t="shared" si="5"/>
        <v>93940330.581070974</v>
      </c>
      <c r="AV14" s="24">
        <f t="shared" si="5"/>
        <v>98181537.272023126</v>
      </c>
      <c r="AW14" s="24">
        <f t="shared" si="5"/>
        <v>102412554.54642984</v>
      </c>
      <c r="AX14" s="24">
        <f t="shared" si="5"/>
        <v>106636115.36722623</v>
      </c>
      <c r="AY14" s="24">
        <f t="shared" si="5"/>
        <v>110854952.36259393</v>
      </c>
      <c r="AZ14" s="24">
        <f t="shared" si="5"/>
        <v>115071323.29841618</v>
      </c>
      <c r="BA14" s="24">
        <f t="shared" si="5"/>
        <v>119287573.84454286</v>
      </c>
      <c r="BB14" s="24">
        <f t="shared" si="5"/>
        <v>123504769.83449413</v>
      </c>
      <c r="BC14" s="24">
        <f t="shared" si="5"/>
        <v>127725548.9022499</v>
      </c>
      <c r="BD14" s="24">
        <f t="shared" si="5"/>
        <v>131950800.81765357</v>
      </c>
      <c r="BE14" s="24">
        <f t="shared" si="5"/>
        <v>136183004.87412196</v>
      </c>
      <c r="BF14" s="24">
        <f t="shared" si="5"/>
        <v>140424081.5342651</v>
      </c>
      <c r="BG14" s="24">
        <f t="shared" si="5"/>
        <v>144674570.06832993</v>
      </c>
      <c r="BH14" s="24">
        <f t="shared" si="5"/>
        <v>148936767.14715385</v>
      </c>
      <c r="BI14" s="24">
        <f t="shared" si="5"/>
        <v>153211744.66780838</v>
      </c>
      <c r="BJ14" s="24">
        <f t="shared" si="5"/>
        <v>157500733.96268398</v>
      </c>
      <c r="BK14" s="24">
        <f>IFERROR(LOOKUP(2,1/((YEAR(EDATE(Controls!$B$6,COLUMN($C$1:$BJ$1)-COLUMN($C$1)))=YEAR(Controls!$B$6)+0)*(COLUMN($C$1:$BJ$1)-COLUMN($C$1)&lt;Controls!$B$7)),$C$14:$BJ$14),0)</f>
        <v>4034019.3154086112</v>
      </c>
      <c r="BL14" s="24">
        <f>IFERROR(LOOKUP(2,1/((YEAR(EDATE(Controls!$B$6,COLUMN($C$1:$BJ$1)-COLUMN($C$1)))=YEAR(Controls!$B$6)+1)*(COLUMN($C$1:$BJ$1)-COLUMN($C$1)&lt;Controls!$B$7)),$C$14:$BJ$14),0)</f>
        <v>17929604.666004423</v>
      </c>
      <c r="BM14" s="24">
        <f>IFERROR(LOOKUP(2,1/((YEAR(EDATE(Controls!$B$6,COLUMN($C$1:$BJ$1)-COLUMN($C$1)))=YEAR(Controls!$B$6)+2)*(COLUMN($C$1:$BJ$1)-COLUMN($C$1)&lt;Controls!$B$7)),$C$14:$BJ$14),0)</f>
        <v>54702860.026525833</v>
      </c>
      <c r="BN14" s="24">
        <f>IFERROR(LOOKUP(2,1/((YEAR(EDATE(Controls!$B$6,COLUMN($C$1:$BJ$1)-COLUMN($C$1)))=YEAR(Controls!$B$6)+3)*(COLUMN($C$1:$BJ$1)-COLUMN($C$1)&lt;Controls!$B$7)),$C$14:$BJ$14),0)</f>
        <v>0</v>
      </c>
      <c r="BO14" s="24">
        <f>IFERROR(LOOKUP(2,1/((YEAR(EDATE(Controls!$B$6,COLUMN($C$1:$BJ$1)-COLUMN($C$1)))=YEAR(Controls!$B$6)+4)*(COLUMN($C$1:$BJ$1)-COLUMN($C$1)&lt;Controls!$B$7)),$C$14:$BJ$14),0)</f>
        <v>0</v>
      </c>
      <c r="BP14" s="24">
        <f>IFERROR(LOOKUP(2,1/((YEAR(EDATE(Controls!$B$6,COLUMN($C$1:$BJ$1)-COLUMN($C$1)))=YEAR(Controls!$B$6)+5)*(COLUMN($C$1:$BJ$1)-COLUMN($C$1)&lt;Controls!$B$7)),$C$14:$BJ$14),0)</f>
        <v>0</v>
      </c>
    </row>
    <row r="16" spans="1:68" ht="18" customHeight="1" x14ac:dyDescent="0.35">
      <c r="A16" s="58" t="s">
        <v>312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</row>
    <row r="17" spans="1:68" x14ac:dyDescent="0.35">
      <c r="A17" s="15" t="s">
        <v>313</v>
      </c>
      <c r="B17" s="20" t="s">
        <v>124</v>
      </c>
      <c r="C17" s="24">
        <f>'P&amp;L'!C41*0.5</f>
        <v>38771.25</v>
      </c>
      <c r="D17" s="24">
        <f>'P&amp;L'!D41*0.5</f>
        <v>38771.25</v>
      </c>
      <c r="E17" s="24">
        <f>'P&amp;L'!E41*0.5</f>
        <v>38771.25</v>
      </c>
      <c r="F17" s="24">
        <f>'P&amp;L'!F41*0.5</f>
        <v>38771.25</v>
      </c>
      <c r="G17" s="24">
        <f>'P&amp;L'!G41*0.5</f>
        <v>38771.25</v>
      </c>
      <c r="H17" s="24">
        <f>'P&amp;L'!H41*0.5</f>
        <v>38771.25</v>
      </c>
      <c r="I17" s="24">
        <f>'P&amp;L'!I41*0.5</f>
        <v>38771.25</v>
      </c>
      <c r="J17" s="24">
        <f>'P&amp;L'!J41*0.5</f>
        <v>38771.25</v>
      </c>
      <c r="K17" s="24">
        <f>'P&amp;L'!K41*0.5</f>
        <v>38771.25</v>
      </c>
      <c r="L17" s="24">
        <f>'P&amp;L'!L41*0.5</f>
        <v>38771.25</v>
      </c>
      <c r="M17" s="24">
        <f>'P&amp;L'!M41*0.5</f>
        <v>38771.25</v>
      </c>
      <c r="N17" s="24">
        <f>'P&amp;L'!N41*0.5</f>
        <v>38771.25</v>
      </c>
      <c r="O17" s="24">
        <f>'P&amp;L'!O41*0.5</f>
        <v>48582</v>
      </c>
      <c r="P17" s="24">
        <f>'P&amp;L'!P41*0.5</f>
        <v>48582</v>
      </c>
      <c r="Q17" s="24">
        <f>'P&amp;L'!Q41*0.5</f>
        <v>48582</v>
      </c>
      <c r="R17" s="24">
        <f>'P&amp;L'!R41*0.5</f>
        <v>48582</v>
      </c>
      <c r="S17" s="24">
        <f>'P&amp;L'!S41*0.5</f>
        <v>48582</v>
      </c>
      <c r="T17" s="24">
        <f>'P&amp;L'!T41*0.5</f>
        <v>48582</v>
      </c>
      <c r="U17" s="24">
        <f>'P&amp;L'!U41*0.5</f>
        <v>48582</v>
      </c>
      <c r="V17" s="24">
        <f>'P&amp;L'!V41*0.5</f>
        <v>48582</v>
      </c>
      <c r="W17" s="24">
        <f>'P&amp;L'!W41*0.5</f>
        <v>48582</v>
      </c>
      <c r="X17" s="24">
        <f>'P&amp;L'!X41*0.5</f>
        <v>48582</v>
      </c>
      <c r="Y17" s="24">
        <f>'P&amp;L'!Y41*0.5</f>
        <v>48582</v>
      </c>
      <c r="Z17" s="24">
        <f>'P&amp;L'!Z41*0.5</f>
        <v>48582</v>
      </c>
      <c r="AA17" s="24">
        <f>'P&amp;L'!AA41*0.5</f>
        <v>61048.806249999994</v>
      </c>
      <c r="AB17" s="24">
        <f>'P&amp;L'!AB41*0.5</f>
        <v>61048.806249999994</v>
      </c>
      <c r="AC17" s="24">
        <f>'P&amp;L'!AC41*0.5</f>
        <v>61048.806249999994</v>
      </c>
      <c r="AD17" s="24">
        <f>'P&amp;L'!AD41*0.5</f>
        <v>61048.806249999994</v>
      </c>
      <c r="AE17" s="24">
        <f>'P&amp;L'!AE41*0.5</f>
        <v>61048.806249999994</v>
      </c>
      <c r="AF17" s="24">
        <f>'P&amp;L'!AF41*0.5</f>
        <v>61048.806249999994</v>
      </c>
      <c r="AG17" s="24">
        <f>'P&amp;L'!AG41*0.5</f>
        <v>61048.806249999994</v>
      </c>
      <c r="AH17" s="24">
        <f>'P&amp;L'!AH41*0.5</f>
        <v>61048.806249999994</v>
      </c>
      <c r="AI17" s="24">
        <f>'P&amp;L'!AI41*0.5</f>
        <v>61048.806249999994</v>
      </c>
      <c r="AJ17" s="24">
        <f>'P&amp;L'!AJ41*0.5</f>
        <v>61048.806249999994</v>
      </c>
      <c r="AK17" s="24">
        <f>'P&amp;L'!AK41*0.5</f>
        <v>61048.806249999994</v>
      </c>
      <c r="AL17" s="24">
        <f>'P&amp;L'!AL41*0.5</f>
        <v>61048.806249999994</v>
      </c>
      <c r="AM17" s="24">
        <f>'P&amp;L'!AM41*0.5</f>
        <v>0</v>
      </c>
      <c r="AN17" s="24">
        <f>'P&amp;L'!AN41*0.5</f>
        <v>0</v>
      </c>
      <c r="AO17" s="24">
        <f>'P&amp;L'!AO41*0.5</f>
        <v>0</v>
      </c>
      <c r="AP17" s="24">
        <f>'P&amp;L'!AP41*0.5</f>
        <v>0</v>
      </c>
      <c r="AQ17" s="24">
        <f>'P&amp;L'!AQ41*0.5</f>
        <v>0</v>
      </c>
      <c r="AR17" s="24">
        <f>'P&amp;L'!AR41*0.5</f>
        <v>0</v>
      </c>
      <c r="AS17" s="24">
        <f>'P&amp;L'!AS41*0.5</f>
        <v>0</v>
      </c>
      <c r="AT17" s="24">
        <f>'P&amp;L'!AT41*0.5</f>
        <v>0</v>
      </c>
      <c r="AU17" s="24">
        <f>'P&amp;L'!AU41*0.5</f>
        <v>0</v>
      </c>
      <c r="AV17" s="24">
        <f>'P&amp;L'!AV41*0.5</f>
        <v>0</v>
      </c>
      <c r="AW17" s="24">
        <f>'P&amp;L'!AW41*0.5</f>
        <v>0</v>
      </c>
      <c r="AX17" s="24">
        <f>'P&amp;L'!AX41*0.5</f>
        <v>0</v>
      </c>
      <c r="AY17" s="24">
        <f>'P&amp;L'!AY41*0.5</f>
        <v>0</v>
      </c>
      <c r="AZ17" s="24">
        <f>'P&amp;L'!AZ41*0.5</f>
        <v>0</v>
      </c>
      <c r="BA17" s="24">
        <f>'P&amp;L'!BA41*0.5</f>
        <v>0</v>
      </c>
      <c r="BB17" s="24">
        <f>'P&amp;L'!BB41*0.5</f>
        <v>0</v>
      </c>
      <c r="BC17" s="24">
        <f>'P&amp;L'!BC41*0.5</f>
        <v>0</v>
      </c>
      <c r="BD17" s="24">
        <f>'P&amp;L'!BD41*0.5</f>
        <v>0</v>
      </c>
      <c r="BE17" s="24">
        <f>'P&amp;L'!BE41*0.5</f>
        <v>0</v>
      </c>
      <c r="BF17" s="24">
        <f>'P&amp;L'!BF41*0.5</f>
        <v>0</v>
      </c>
      <c r="BG17" s="24">
        <f>'P&amp;L'!BG41*0.5</f>
        <v>0</v>
      </c>
      <c r="BH17" s="24">
        <f>'P&amp;L'!BH41*0.5</f>
        <v>0</v>
      </c>
      <c r="BI17" s="24">
        <f>'P&amp;L'!BI41*0.5</f>
        <v>0</v>
      </c>
      <c r="BJ17" s="24">
        <f>'P&amp;L'!BJ41*0.5</f>
        <v>0</v>
      </c>
      <c r="BK17" s="24">
        <f>IFERROR(LOOKUP(2,1/((YEAR(EDATE(Controls!$B$6,COLUMN($C$1:$BJ$1)-COLUMN($C$1)))=YEAR(Controls!$B$6)+0)*(COLUMN($C$1:$BJ$1)-COLUMN($C$1)&lt;Controls!$B$7)),$C$17:$BJ$17),0)</f>
        <v>38771.25</v>
      </c>
      <c r="BL17" s="24">
        <f>IFERROR(LOOKUP(2,1/((YEAR(EDATE(Controls!$B$6,COLUMN($C$1:$BJ$1)-COLUMN($C$1)))=YEAR(Controls!$B$6)+1)*(COLUMN($C$1:$BJ$1)-COLUMN($C$1)&lt;Controls!$B$7)),$C$17:$BJ$17),0)</f>
        <v>48582</v>
      </c>
      <c r="BM17" s="24">
        <f>IFERROR(LOOKUP(2,1/((YEAR(EDATE(Controls!$B$6,COLUMN($C$1:$BJ$1)-COLUMN($C$1)))=YEAR(Controls!$B$6)+2)*(COLUMN($C$1:$BJ$1)-COLUMN($C$1)&lt;Controls!$B$7)),$C$17:$BJ$17),0)</f>
        <v>61048.806249999994</v>
      </c>
      <c r="BN17" s="24">
        <f>IFERROR(LOOKUP(2,1/((YEAR(EDATE(Controls!$B$6,COLUMN($C$1:$BJ$1)-COLUMN($C$1)))=YEAR(Controls!$B$6)+3)*(COLUMN($C$1:$BJ$1)-COLUMN($C$1)&lt;Controls!$B$7)),$C$17:$BJ$17),0)</f>
        <v>0</v>
      </c>
      <c r="BO17" s="24">
        <f>IFERROR(LOOKUP(2,1/((YEAR(EDATE(Controls!$B$6,COLUMN($C$1:$BJ$1)-COLUMN($C$1)))=YEAR(Controls!$B$6)+4)*(COLUMN($C$1:$BJ$1)-COLUMN($C$1)&lt;Controls!$B$7)),$C$17:$BJ$17),0)</f>
        <v>0</v>
      </c>
      <c r="BP17" s="24">
        <f>IFERROR(LOOKUP(2,1/((YEAR(EDATE(Controls!$B$6,COLUMN($C$1:$BJ$1)-COLUMN($C$1)))=YEAR(Controls!$B$6)+5)*(COLUMN($C$1:$BJ$1)-COLUMN($C$1)&lt;Controls!$B$7)),$C$17:$BJ$17),0)</f>
        <v>0</v>
      </c>
    </row>
    <row r="18" spans="1:68" x14ac:dyDescent="0.35">
      <c r="A18" s="15" t="s">
        <v>314</v>
      </c>
      <c r="B18" s="20" t="s">
        <v>124</v>
      </c>
      <c r="C18" s="24">
        <f>Revenue!C101</f>
        <v>39689.324399999998</v>
      </c>
      <c r="D18" s="24">
        <f>Revenue!D101</f>
        <v>114859.37451719999</v>
      </c>
      <c r="E18" s="24">
        <f>Revenue!E101</f>
        <v>222856.58588247214</v>
      </c>
      <c r="F18" s="24">
        <f>Revenue!F101</f>
        <v>361848.9246594201</v>
      </c>
      <c r="G18" s="24">
        <f>Revenue!G101</f>
        <v>533583.43035101588</v>
      </c>
      <c r="H18" s="24">
        <f>Revenue!H101</f>
        <v>736416.31156731443</v>
      </c>
      <c r="I18" s="24">
        <f>Revenue!I101</f>
        <v>971585.82372066635</v>
      </c>
      <c r="J18" s="24">
        <f>Revenue!J101</f>
        <v>1234728.1696068421</v>
      </c>
      <c r="K18" s="24">
        <f>Revenue!K101</f>
        <v>1527965.7134351875</v>
      </c>
      <c r="L18" s="24">
        <f>Revenue!L101</f>
        <v>1853864.2320405862</v>
      </c>
      <c r="M18" s="24">
        <f>Revenue!M101</f>
        <v>2211172.983465754</v>
      </c>
      <c r="N18" s="24">
        <f>Revenue!N101</f>
        <v>2602422.5903226146</v>
      </c>
      <c r="O18" s="24">
        <f>Revenue!O101</f>
        <v>3029409.2720043371</v>
      </c>
      <c r="P18" s="24">
        <f>Revenue!P101</f>
        <v>3495194.5244538346</v>
      </c>
      <c r="Q18" s="24">
        <f>Revenue!Q101</f>
        <v>3998089.8834352712</v>
      </c>
      <c r="R18" s="24">
        <f>Revenue!R101</f>
        <v>4540553.9951184886</v>
      </c>
      <c r="S18" s="24">
        <f>Revenue!S101</f>
        <v>5121602.1069361391</v>
      </c>
      <c r="T18" s="24">
        <f>Revenue!T101</f>
        <v>5744231.1578513039</v>
      </c>
      <c r="U18" s="24">
        <f>Revenue!U101</f>
        <v>6410563.5749679552</v>
      </c>
      <c r="V18" s="24">
        <f>Revenue!V101</f>
        <v>7126794.605964303</v>
      </c>
      <c r="W18" s="24">
        <f>Revenue!W101</f>
        <v>7895179.2549379179</v>
      </c>
      <c r="X18" s="24">
        <f>Revenue!X101</f>
        <v>8717958.6430655401</v>
      </c>
      <c r="Y18" s="24">
        <f>Revenue!Y101</f>
        <v>9597578.5254694559</v>
      </c>
      <c r="Z18" s="24">
        <f>Revenue!Z101</f>
        <v>10536492.489346262</v>
      </c>
      <c r="AA18" s="24">
        <f>Revenue!AA101</f>
        <v>11540065.533438787</v>
      </c>
      <c r="AB18" s="24">
        <f>Revenue!AB101</f>
        <v>12613995.323522665</v>
      </c>
      <c r="AC18" s="24">
        <f>Revenue!AC101</f>
        <v>13764073.407725234</v>
      </c>
      <c r="AD18" s="24">
        <f>Revenue!AD101</f>
        <v>14992065.428780781</v>
      </c>
      <c r="AE18" s="24">
        <f>Revenue!AE101</f>
        <v>16303544.762608815</v>
      </c>
      <c r="AF18" s="24">
        <f>Revenue!AF101</f>
        <v>17703734.617235743</v>
      </c>
      <c r="AG18" s="24">
        <f>Revenue!AG101</f>
        <v>19198331.228540029</v>
      </c>
      <c r="AH18" s="24">
        <f>Revenue!AH101</f>
        <v>20793145.26718073</v>
      </c>
      <c r="AI18" s="24">
        <f>Revenue!AI101</f>
        <v>22496567.200396277</v>
      </c>
      <c r="AJ18" s="24">
        <f>Revenue!AJ101</f>
        <v>24313259.984782059</v>
      </c>
      <c r="AK18" s="24">
        <f>Revenue!AK101</f>
        <v>26252078.390417233</v>
      </c>
      <c r="AL18" s="24">
        <f>Revenue!AL101</f>
        <v>28321415.932715982</v>
      </c>
      <c r="AM18" s="24">
        <f>Revenue!AM101</f>
        <v>30200006.767248105</v>
      </c>
      <c r="AN18" s="24">
        <f>Revenue!AN101</f>
        <v>31906231.275634699</v>
      </c>
      <c r="AO18" s="24">
        <f>Revenue!AO101</f>
        <v>33456916.217265561</v>
      </c>
      <c r="AP18" s="24">
        <f>Revenue!AP101</f>
        <v>34866687.359197669</v>
      </c>
      <c r="AQ18" s="24">
        <f>Revenue!AQ101</f>
        <v>36149311.84463267</v>
      </c>
      <c r="AR18" s="24">
        <f>Revenue!AR101</f>
        <v>37317422.318174861</v>
      </c>
      <c r="AS18" s="24">
        <f>Revenue!AS101</f>
        <v>38382512.904426612</v>
      </c>
      <c r="AT18" s="24">
        <f>Revenue!AT101</f>
        <v>39354469.167153105</v>
      </c>
      <c r="AU18" s="24">
        <f>Revenue!AU101</f>
        <v>40242749.361555122</v>
      </c>
      <c r="AV18" s="24">
        <f>Revenue!AV101</f>
        <v>41056069.353998691</v>
      </c>
      <c r="AW18" s="24">
        <f>Revenue!AW101</f>
        <v>41804974.909289315</v>
      </c>
      <c r="AX18" s="24">
        <f>Revenue!AX101</f>
        <v>42496388.021504767</v>
      </c>
      <c r="AY18" s="24">
        <f>Revenue!AY101</f>
        <v>43136719.901333481</v>
      </c>
      <c r="AZ18" s="24">
        <f>Revenue!AZ101</f>
        <v>43731128.823282517</v>
      </c>
      <c r="BA18" s="24">
        <f>Revenue!BA101</f>
        <v>44284884.128397904</v>
      </c>
      <c r="BB18" s="24">
        <f>Revenue!BB101</f>
        <v>44802213.50634598</v>
      </c>
      <c r="BC18" s="24">
        <f>Revenue!BC101</f>
        <v>45287540.529678293</v>
      </c>
      <c r="BD18" s="24">
        <f>Revenue!BD101</f>
        <v>45744324.228313342</v>
      </c>
      <c r="BE18" s="24">
        <f>Revenue!BE101</f>
        <v>46176289.616935402</v>
      </c>
      <c r="BF18" s="24">
        <f>Revenue!BF101</f>
        <v>46586834.549641311</v>
      </c>
      <c r="BG18" s="24">
        <f>Revenue!BG101</f>
        <v>46978378.145824067</v>
      </c>
      <c r="BH18" s="24">
        <f>Revenue!BH101</f>
        <v>47353807.673600346</v>
      </c>
      <c r="BI18" s="24">
        <f>Revenue!BI101</f>
        <v>47715186.117129534</v>
      </c>
      <c r="BJ18" s="24">
        <f>Revenue!BJ101</f>
        <v>48064969.961295888</v>
      </c>
      <c r="BK18" s="24">
        <f>IFERROR(LOOKUP(2,1/((YEAR(EDATE(Controls!$B$6,COLUMN($C$1:$BJ$1)-COLUMN($C$1)))=YEAR(Controls!$B$6)+0)*(COLUMN($C$1:$BJ$1)-COLUMN($C$1)&lt;Controls!$B$7)),$C$18:$BJ$18),0)</f>
        <v>2602422.5903226146</v>
      </c>
      <c r="BL18" s="24">
        <f>IFERROR(LOOKUP(2,1/((YEAR(EDATE(Controls!$B$6,COLUMN($C$1:$BJ$1)-COLUMN($C$1)))=YEAR(Controls!$B$6)+1)*(COLUMN($C$1:$BJ$1)-COLUMN($C$1)&lt;Controls!$B$7)),$C$18:$BJ$18),0)</f>
        <v>10536492.489346262</v>
      </c>
      <c r="BM18" s="24">
        <f>IFERROR(LOOKUP(2,1/((YEAR(EDATE(Controls!$B$6,COLUMN($C$1:$BJ$1)-COLUMN($C$1)))=YEAR(Controls!$B$6)+2)*(COLUMN($C$1:$BJ$1)-COLUMN($C$1)&lt;Controls!$B$7)),$C$18:$BJ$18),0)</f>
        <v>28321415.932715982</v>
      </c>
      <c r="BN18" s="24">
        <f>IFERROR(LOOKUP(2,1/((YEAR(EDATE(Controls!$B$6,COLUMN($C$1:$BJ$1)-COLUMN($C$1)))=YEAR(Controls!$B$6)+3)*(COLUMN($C$1:$BJ$1)-COLUMN($C$1)&lt;Controls!$B$7)),$C$18:$BJ$18),0)</f>
        <v>0</v>
      </c>
      <c r="BO18" s="24">
        <f>IFERROR(LOOKUP(2,1/((YEAR(EDATE(Controls!$B$6,COLUMN($C$1:$BJ$1)-COLUMN($C$1)))=YEAR(Controls!$B$6)+4)*(COLUMN($C$1:$BJ$1)-COLUMN($C$1)&lt;Controls!$B$7)),$C$18:$BJ$18),0)</f>
        <v>0</v>
      </c>
      <c r="BP18" s="24">
        <f>IFERROR(LOOKUP(2,1/((YEAR(EDATE(Controls!$B$6,COLUMN($C$1:$BJ$1)-COLUMN($C$1)))=YEAR(Controls!$B$6)+5)*(COLUMN($C$1:$BJ$1)-COLUMN($C$1)&lt;Controls!$B$7)),$C$18:$BJ$18),0)</f>
        <v>0</v>
      </c>
    </row>
    <row r="19" spans="1:68" x14ac:dyDescent="0.35">
      <c r="A19" s="6" t="s">
        <v>315</v>
      </c>
      <c r="B19" s="20" t="s">
        <v>124</v>
      </c>
      <c r="C19" s="24">
        <f t="shared" ref="C19:AH19" si="6">C17+C18</f>
        <v>78460.574399999998</v>
      </c>
      <c r="D19" s="24">
        <f t="shared" si="6"/>
        <v>153630.62451719999</v>
      </c>
      <c r="E19" s="24">
        <f t="shared" si="6"/>
        <v>261627.83588247214</v>
      </c>
      <c r="F19" s="24">
        <f t="shared" si="6"/>
        <v>400620.1746594201</v>
      </c>
      <c r="G19" s="24">
        <f t="shared" si="6"/>
        <v>572354.68035101588</v>
      </c>
      <c r="H19" s="24">
        <f t="shared" si="6"/>
        <v>775187.56156731443</v>
      </c>
      <c r="I19" s="24">
        <f t="shared" si="6"/>
        <v>1010357.0737206663</v>
      </c>
      <c r="J19" s="24">
        <f t="shared" si="6"/>
        <v>1273499.4196068421</v>
      </c>
      <c r="K19" s="24">
        <f t="shared" si="6"/>
        <v>1566736.9634351875</v>
      </c>
      <c r="L19" s="24">
        <f t="shared" si="6"/>
        <v>1892635.4820405862</v>
      </c>
      <c r="M19" s="24">
        <f t="shared" si="6"/>
        <v>2249944.233465754</v>
      </c>
      <c r="N19" s="24">
        <f t="shared" si="6"/>
        <v>2641193.8403226146</v>
      </c>
      <c r="O19" s="24">
        <f t="shared" si="6"/>
        <v>3077991.2720043371</v>
      </c>
      <c r="P19" s="24">
        <f t="shared" si="6"/>
        <v>3543776.5244538346</v>
      </c>
      <c r="Q19" s="24">
        <f t="shared" si="6"/>
        <v>4046671.8834352712</v>
      </c>
      <c r="R19" s="24">
        <f t="shared" si="6"/>
        <v>4589135.9951184886</v>
      </c>
      <c r="S19" s="24">
        <f t="shared" si="6"/>
        <v>5170184.1069361391</v>
      </c>
      <c r="T19" s="24">
        <f t="shared" si="6"/>
        <v>5792813.1578513039</v>
      </c>
      <c r="U19" s="24">
        <f t="shared" si="6"/>
        <v>6459145.5749679552</v>
      </c>
      <c r="V19" s="24">
        <f t="shared" si="6"/>
        <v>7175376.605964303</v>
      </c>
      <c r="W19" s="24">
        <f t="shared" si="6"/>
        <v>7943761.2549379179</v>
      </c>
      <c r="X19" s="24">
        <f t="shared" si="6"/>
        <v>8766540.6430655401</v>
      </c>
      <c r="Y19" s="24">
        <f t="shared" si="6"/>
        <v>9646160.5254694559</v>
      </c>
      <c r="Z19" s="24">
        <f t="shared" si="6"/>
        <v>10585074.489346262</v>
      </c>
      <c r="AA19" s="24">
        <f t="shared" si="6"/>
        <v>11601114.339688787</v>
      </c>
      <c r="AB19" s="24">
        <f t="shared" si="6"/>
        <v>12675044.129772665</v>
      </c>
      <c r="AC19" s="24">
        <f t="shared" si="6"/>
        <v>13825122.213975234</v>
      </c>
      <c r="AD19" s="24">
        <f t="shared" si="6"/>
        <v>15053114.235030781</v>
      </c>
      <c r="AE19" s="24">
        <f t="shared" si="6"/>
        <v>16364593.568858815</v>
      </c>
      <c r="AF19" s="24">
        <f t="shared" si="6"/>
        <v>17764783.423485741</v>
      </c>
      <c r="AG19" s="24">
        <f t="shared" si="6"/>
        <v>19259380.034790028</v>
      </c>
      <c r="AH19" s="24">
        <f t="shared" si="6"/>
        <v>20854194.073430728</v>
      </c>
      <c r="AI19" s="24">
        <f t="shared" ref="AI19:BJ19" si="7">AI17+AI18</f>
        <v>22557616.006646276</v>
      </c>
      <c r="AJ19" s="24">
        <f t="shared" si="7"/>
        <v>24374308.791032057</v>
      </c>
      <c r="AK19" s="24">
        <f t="shared" si="7"/>
        <v>26313127.196667232</v>
      </c>
      <c r="AL19" s="24">
        <f t="shared" si="7"/>
        <v>28382464.738965981</v>
      </c>
      <c r="AM19" s="24">
        <f t="shared" si="7"/>
        <v>30200006.767248105</v>
      </c>
      <c r="AN19" s="24">
        <f t="shared" si="7"/>
        <v>31906231.275634699</v>
      </c>
      <c r="AO19" s="24">
        <f t="shared" si="7"/>
        <v>33456916.217265561</v>
      </c>
      <c r="AP19" s="24">
        <f t="shared" si="7"/>
        <v>34866687.359197669</v>
      </c>
      <c r="AQ19" s="24">
        <f t="shared" si="7"/>
        <v>36149311.84463267</v>
      </c>
      <c r="AR19" s="24">
        <f t="shared" si="7"/>
        <v>37317422.318174861</v>
      </c>
      <c r="AS19" s="24">
        <f t="shared" si="7"/>
        <v>38382512.904426612</v>
      </c>
      <c r="AT19" s="24">
        <f t="shared" si="7"/>
        <v>39354469.167153105</v>
      </c>
      <c r="AU19" s="24">
        <f t="shared" si="7"/>
        <v>40242749.361555122</v>
      </c>
      <c r="AV19" s="24">
        <f t="shared" si="7"/>
        <v>41056069.353998691</v>
      </c>
      <c r="AW19" s="24">
        <f t="shared" si="7"/>
        <v>41804974.909289315</v>
      </c>
      <c r="AX19" s="24">
        <f t="shared" si="7"/>
        <v>42496388.021504767</v>
      </c>
      <c r="AY19" s="24">
        <f t="shared" si="7"/>
        <v>43136719.901333481</v>
      </c>
      <c r="AZ19" s="24">
        <f t="shared" si="7"/>
        <v>43731128.823282517</v>
      </c>
      <c r="BA19" s="24">
        <f t="shared" si="7"/>
        <v>44284884.128397904</v>
      </c>
      <c r="BB19" s="24">
        <f t="shared" si="7"/>
        <v>44802213.50634598</v>
      </c>
      <c r="BC19" s="24">
        <f t="shared" si="7"/>
        <v>45287540.529678293</v>
      </c>
      <c r="BD19" s="24">
        <f t="shared" si="7"/>
        <v>45744324.228313342</v>
      </c>
      <c r="BE19" s="24">
        <f t="shared" si="7"/>
        <v>46176289.616935402</v>
      </c>
      <c r="BF19" s="24">
        <f t="shared" si="7"/>
        <v>46586834.549641311</v>
      </c>
      <c r="BG19" s="24">
        <f t="shared" si="7"/>
        <v>46978378.145824067</v>
      </c>
      <c r="BH19" s="24">
        <f t="shared" si="7"/>
        <v>47353807.673600346</v>
      </c>
      <c r="BI19" s="24">
        <f t="shared" si="7"/>
        <v>47715186.117129534</v>
      </c>
      <c r="BJ19" s="24">
        <f t="shared" si="7"/>
        <v>48064969.961295888</v>
      </c>
      <c r="BK19" s="24">
        <f>IFERROR(LOOKUP(2,1/((YEAR(EDATE(Controls!$B$6,COLUMN($C$1:$BJ$1)-COLUMN($C$1)))=YEAR(Controls!$B$6)+0)*(COLUMN($C$1:$BJ$1)-COLUMN($C$1)&lt;Controls!$B$7)),$C$19:$BJ$19),0)</f>
        <v>2641193.8403226146</v>
      </c>
      <c r="BL19" s="24">
        <f>IFERROR(LOOKUP(2,1/((YEAR(EDATE(Controls!$B$6,COLUMN($C$1:$BJ$1)-COLUMN($C$1)))=YEAR(Controls!$B$6)+1)*(COLUMN($C$1:$BJ$1)-COLUMN($C$1)&lt;Controls!$B$7)),$C$19:$BJ$19),0)</f>
        <v>10585074.489346262</v>
      </c>
      <c r="BM19" s="24">
        <f>IFERROR(LOOKUP(2,1/((YEAR(EDATE(Controls!$B$6,COLUMN($C$1:$BJ$1)-COLUMN($C$1)))=YEAR(Controls!$B$6)+2)*(COLUMN($C$1:$BJ$1)-COLUMN($C$1)&lt;Controls!$B$7)),$C$19:$BJ$19),0)</f>
        <v>28382464.738965981</v>
      </c>
      <c r="BN19" s="24">
        <f>IFERROR(LOOKUP(2,1/((YEAR(EDATE(Controls!$B$6,COLUMN($C$1:$BJ$1)-COLUMN($C$1)))=YEAR(Controls!$B$6)+3)*(COLUMN($C$1:$BJ$1)-COLUMN($C$1)&lt;Controls!$B$7)),$C$19:$BJ$19),0)</f>
        <v>0</v>
      </c>
      <c r="BO19" s="24">
        <f>IFERROR(LOOKUP(2,1/((YEAR(EDATE(Controls!$B$6,COLUMN($C$1:$BJ$1)-COLUMN($C$1)))=YEAR(Controls!$B$6)+4)*(COLUMN($C$1:$BJ$1)-COLUMN($C$1)&lt;Controls!$B$7)),$C$19:$BJ$19),0)</f>
        <v>0</v>
      </c>
      <c r="BP19" s="24">
        <f>IFERROR(LOOKUP(2,1/((YEAR(EDATE(Controls!$B$6,COLUMN($C$1:$BJ$1)-COLUMN($C$1)))=YEAR(Controls!$B$6)+5)*(COLUMN($C$1:$BJ$1)-COLUMN($C$1)&lt;Controls!$B$7)),$C$19:$BJ$19),0)</f>
        <v>0</v>
      </c>
    </row>
    <row r="21" spans="1:68" x14ac:dyDescent="0.35">
      <c r="A21" s="15" t="s">
        <v>316</v>
      </c>
      <c r="B21" s="20" t="s">
        <v>124</v>
      </c>
      <c r="C21" s="24">
        <f>Controls!$B$20</f>
        <v>0</v>
      </c>
      <c r="D21" s="24">
        <f>Controls!$B$20</f>
        <v>0</v>
      </c>
      <c r="E21" s="24">
        <f>Controls!$B$20</f>
        <v>0</v>
      </c>
      <c r="F21" s="24">
        <f>Controls!$B$20</f>
        <v>0</v>
      </c>
      <c r="G21" s="24">
        <f>Controls!$B$20</f>
        <v>0</v>
      </c>
      <c r="H21" s="24">
        <f>Controls!$B$20</f>
        <v>0</v>
      </c>
      <c r="I21" s="24">
        <f>Controls!$B$20</f>
        <v>0</v>
      </c>
      <c r="J21" s="24">
        <f>Controls!$B$20</f>
        <v>0</v>
      </c>
      <c r="K21" s="24">
        <f>Controls!$B$20</f>
        <v>0</v>
      </c>
      <c r="L21" s="24">
        <f>Controls!$B$20</f>
        <v>0</v>
      </c>
      <c r="M21" s="24">
        <f>Controls!$B$20</f>
        <v>0</v>
      </c>
      <c r="N21" s="24">
        <f>Controls!$B$20</f>
        <v>0</v>
      </c>
      <c r="O21" s="24">
        <f>Controls!$B$20</f>
        <v>0</v>
      </c>
      <c r="P21" s="24">
        <f>Controls!$B$20</f>
        <v>0</v>
      </c>
      <c r="Q21" s="24">
        <f>Controls!$B$20</f>
        <v>0</v>
      </c>
      <c r="R21" s="24">
        <f>Controls!$B$20</f>
        <v>0</v>
      </c>
      <c r="S21" s="24">
        <f>Controls!$B$20</f>
        <v>0</v>
      </c>
      <c r="T21" s="24">
        <f>Controls!$B$20</f>
        <v>0</v>
      </c>
      <c r="U21" s="24">
        <f>Controls!$B$20</f>
        <v>0</v>
      </c>
      <c r="V21" s="24">
        <f>Controls!$B$20</f>
        <v>0</v>
      </c>
      <c r="W21" s="24">
        <f>Controls!$B$20</f>
        <v>0</v>
      </c>
      <c r="X21" s="24">
        <f>Controls!$B$20</f>
        <v>0</v>
      </c>
      <c r="Y21" s="24">
        <f>Controls!$B$20</f>
        <v>0</v>
      </c>
      <c r="Z21" s="24">
        <f>Controls!$B$20</f>
        <v>0</v>
      </c>
      <c r="AA21" s="24">
        <f>Controls!$B$20</f>
        <v>0</v>
      </c>
      <c r="AB21" s="24">
        <f>Controls!$B$20</f>
        <v>0</v>
      </c>
      <c r="AC21" s="24">
        <f>Controls!$B$20</f>
        <v>0</v>
      </c>
      <c r="AD21" s="24">
        <f>Controls!$B$20</f>
        <v>0</v>
      </c>
      <c r="AE21" s="24">
        <f>Controls!$B$20</f>
        <v>0</v>
      </c>
      <c r="AF21" s="24">
        <f>Controls!$B$20</f>
        <v>0</v>
      </c>
      <c r="AG21" s="24">
        <f>Controls!$B$20</f>
        <v>0</v>
      </c>
      <c r="AH21" s="24">
        <f>Controls!$B$20</f>
        <v>0</v>
      </c>
      <c r="AI21" s="24">
        <f>Controls!$B$20</f>
        <v>0</v>
      </c>
      <c r="AJ21" s="24">
        <f>Controls!$B$20</f>
        <v>0</v>
      </c>
      <c r="AK21" s="24">
        <f>Controls!$B$20</f>
        <v>0</v>
      </c>
      <c r="AL21" s="24">
        <f>Controls!$B$20</f>
        <v>0</v>
      </c>
      <c r="AM21" s="24">
        <f>Controls!$B$20</f>
        <v>0</v>
      </c>
      <c r="AN21" s="24">
        <f>Controls!$B$20</f>
        <v>0</v>
      </c>
      <c r="AO21" s="24">
        <f>Controls!$B$20</f>
        <v>0</v>
      </c>
      <c r="AP21" s="24">
        <f>Controls!$B$20</f>
        <v>0</v>
      </c>
      <c r="AQ21" s="24">
        <f>Controls!$B$20</f>
        <v>0</v>
      </c>
      <c r="AR21" s="24">
        <f>Controls!$B$20</f>
        <v>0</v>
      </c>
      <c r="AS21" s="24">
        <f>Controls!$B$20</f>
        <v>0</v>
      </c>
      <c r="AT21" s="24">
        <f>Controls!$B$20</f>
        <v>0</v>
      </c>
      <c r="AU21" s="24">
        <f>Controls!$B$20</f>
        <v>0</v>
      </c>
      <c r="AV21" s="24">
        <f>Controls!$B$20</f>
        <v>0</v>
      </c>
      <c r="AW21" s="24">
        <f>Controls!$B$20</f>
        <v>0</v>
      </c>
      <c r="AX21" s="24">
        <f>Controls!$B$20</f>
        <v>0</v>
      </c>
      <c r="AY21" s="24">
        <f>Controls!$B$20</f>
        <v>0</v>
      </c>
      <c r="AZ21" s="24">
        <f>Controls!$B$20</f>
        <v>0</v>
      </c>
      <c r="BA21" s="24">
        <f>Controls!$B$20</f>
        <v>0</v>
      </c>
      <c r="BB21" s="24">
        <f>Controls!$B$20</f>
        <v>0</v>
      </c>
      <c r="BC21" s="24">
        <f>Controls!$B$20</f>
        <v>0</v>
      </c>
      <c r="BD21" s="24">
        <f>Controls!$B$20</f>
        <v>0</v>
      </c>
      <c r="BE21" s="24">
        <f>Controls!$B$20</f>
        <v>0</v>
      </c>
      <c r="BF21" s="24">
        <f>Controls!$B$20</f>
        <v>0</v>
      </c>
      <c r="BG21" s="24">
        <f>Controls!$B$20</f>
        <v>0</v>
      </c>
      <c r="BH21" s="24">
        <f>Controls!$B$20</f>
        <v>0</v>
      </c>
      <c r="BI21" s="24">
        <f>Controls!$B$20</f>
        <v>0</v>
      </c>
      <c r="BJ21" s="24">
        <f>Controls!$B$20</f>
        <v>0</v>
      </c>
      <c r="BK21" s="24">
        <f>IFERROR(LOOKUP(2,1/((YEAR(EDATE(Controls!$B$6,COLUMN($C$1:$BJ$1)-COLUMN($C$1)))=YEAR(Controls!$B$6)+0)*(COLUMN($C$1:$BJ$1)-COLUMN($C$1)&lt;Controls!$B$7)),$C$21:$BJ$21),0)</f>
        <v>0</v>
      </c>
      <c r="BL21" s="24">
        <f>IFERROR(LOOKUP(2,1/((YEAR(EDATE(Controls!$B$6,COLUMN($C$1:$BJ$1)-COLUMN($C$1)))=YEAR(Controls!$B$6)+1)*(COLUMN($C$1:$BJ$1)-COLUMN($C$1)&lt;Controls!$B$7)),$C$21:$BJ$21),0)</f>
        <v>0</v>
      </c>
      <c r="BM21" s="24">
        <f>IFERROR(LOOKUP(2,1/((YEAR(EDATE(Controls!$B$6,COLUMN($C$1:$BJ$1)-COLUMN($C$1)))=YEAR(Controls!$B$6)+2)*(COLUMN($C$1:$BJ$1)-COLUMN($C$1)&lt;Controls!$B$7)),$C$21:$BJ$21),0)</f>
        <v>0</v>
      </c>
      <c r="BN21" s="24">
        <f>IFERROR(LOOKUP(2,1/((YEAR(EDATE(Controls!$B$6,COLUMN($C$1:$BJ$1)-COLUMN($C$1)))=YEAR(Controls!$B$6)+3)*(COLUMN($C$1:$BJ$1)-COLUMN($C$1)&lt;Controls!$B$7)),$C$21:$BJ$21),0)</f>
        <v>0</v>
      </c>
      <c r="BO21" s="24">
        <f>IFERROR(LOOKUP(2,1/((YEAR(EDATE(Controls!$B$6,COLUMN($C$1:$BJ$1)-COLUMN($C$1)))=YEAR(Controls!$B$6)+4)*(COLUMN($C$1:$BJ$1)-COLUMN($C$1)&lt;Controls!$B$7)),$C$21:$BJ$21),0)</f>
        <v>0</v>
      </c>
      <c r="BP21" s="24">
        <f>IFERROR(LOOKUP(2,1/((YEAR(EDATE(Controls!$B$6,COLUMN($C$1:$BJ$1)-COLUMN($C$1)))=YEAR(Controls!$B$6)+5)*(COLUMN($C$1:$BJ$1)-COLUMN($C$1)&lt;Controls!$B$7)),$C$21:$BJ$21),0)</f>
        <v>0</v>
      </c>
    </row>
    <row r="22" spans="1:68" x14ac:dyDescent="0.35">
      <c r="A22" s="6" t="s">
        <v>317</v>
      </c>
      <c r="B22" s="20" t="s">
        <v>124</v>
      </c>
      <c r="C22" s="24">
        <f t="shared" ref="C22:AH22" si="8">C19+C21</f>
        <v>78460.574399999998</v>
      </c>
      <c r="D22" s="24">
        <f t="shared" si="8"/>
        <v>153630.62451719999</v>
      </c>
      <c r="E22" s="24">
        <f t="shared" si="8"/>
        <v>261627.83588247214</v>
      </c>
      <c r="F22" s="24">
        <f t="shared" si="8"/>
        <v>400620.1746594201</v>
      </c>
      <c r="G22" s="24">
        <f t="shared" si="8"/>
        <v>572354.68035101588</v>
      </c>
      <c r="H22" s="24">
        <f t="shared" si="8"/>
        <v>775187.56156731443</v>
      </c>
      <c r="I22" s="24">
        <f t="shared" si="8"/>
        <v>1010357.0737206663</v>
      </c>
      <c r="J22" s="24">
        <f t="shared" si="8"/>
        <v>1273499.4196068421</v>
      </c>
      <c r="K22" s="24">
        <f t="shared" si="8"/>
        <v>1566736.9634351875</v>
      </c>
      <c r="L22" s="24">
        <f t="shared" si="8"/>
        <v>1892635.4820405862</v>
      </c>
      <c r="M22" s="24">
        <f t="shared" si="8"/>
        <v>2249944.233465754</v>
      </c>
      <c r="N22" s="24">
        <f t="shared" si="8"/>
        <v>2641193.8403226146</v>
      </c>
      <c r="O22" s="24">
        <f t="shared" si="8"/>
        <v>3077991.2720043371</v>
      </c>
      <c r="P22" s="24">
        <f t="shared" si="8"/>
        <v>3543776.5244538346</v>
      </c>
      <c r="Q22" s="24">
        <f t="shared" si="8"/>
        <v>4046671.8834352712</v>
      </c>
      <c r="R22" s="24">
        <f t="shared" si="8"/>
        <v>4589135.9951184886</v>
      </c>
      <c r="S22" s="24">
        <f t="shared" si="8"/>
        <v>5170184.1069361391</v>
      </c>
      <c r="T22" s="24">
        <f t="shared" si="8"/>
        <v>5792813.1578513039</v>
      </c>
      <c r="U22" s="24">
        <f t="shared" si="8"/>
        <v>6459145.5749679552</v>
      </c>
      <c r="V22" s="24">
        <f t="shared" si="8"/>
        <v>7175376.605964303</v>
      </c>
      <c r="W22" s="24">
        <f t="shared" si="8"/>
        <v>7943761.2549379179</v>
      </c>
      <c r="X22" s="24">
        <f t="shared" si="8"/>
        <v>8766540.6430655401</v>
      </c>
      <c r="Y22" s="24">
        <f t="shared" si="8"/>
        <v>9646160.5254694559</v>
      </c>
      <c r="Z22" s="24">
        <f t="shared" si="8"/>
        <v>10585074.489346262</v>
      </c>
      <c r="AA22" s="24">
        <f t="shared" si="8"/>
        <v>11601114.339688787</v>
      </c>
      <c r="AB22" s="24">
        <f t="shared" si="8"/>
        <v>12675044.129772665</v>
      </c>
      <c r="AC22" s="24">
        <f t="shared" si="8"/>
        <v>13825122.213975234</v>
      </c>
      <c r="AD22" s="24">
        <f t="shared" si="8"/>
        <v>15053114.235030781</v>
      </c>
      <c r="AE22" s="24">
        <f t="shared" si="8"/>
        <v>16364593.568858815</v>
      </c>
      <c r="AF22" s="24">
        <f t="shared" si="8"/>
        <v>17764783.423485741</v>
      </c>
      <c r="AG22" s="24">
        <f t="shared" si="8"/>
        <v>19259380.034790028</v>
      </c>
      <c r="AH22" s="24">
        <f t="shared" si="8"/>
        <v>20854194.073430728</v>
      </c>
      <c r="AI22" s="24">
        <f t="shared" ref="AI22:BJ22" si="9">AI19+AI21</f>
        <v>22557616.006646276</v>
      </c>
      <c r="AJ22" s="24">
        <f t="shared" si="9"/>
        <v>24374308.791032057</v>
      </c>
      <c r="AK22" s="24">
        <f t="shared" si="9"/>
        <v>26313127.196667232</v>
      </c>
      <c r="AL22" s="24">
        <f t="shared" si="9"/>
        <v>28382464.738965981</v>
      </c>
      <c r="AM22" s="24">
        <f t="shared" si="9"/>
        <v>30200006.767248105</v>
      </c>
      <c r="AN22" s="24">
        <f t="shared" si="9"/>
        <v>31906231.275634699</v>
      </c>
      <c r="AO22" s="24">
        <f t="shared" si="9"/>
        <v>33456916.217265561</v>
      </c>
      <c r="AP22" s="24">
        <f t="shared" si="9"/>
        <v>34866687.359197669</v>
      </c>
      <c r="AQ22" s="24">
        <f t="shared" si="9"/>
        <v>36149311.84463267</v>
      </c>
      <c r="AR22" s="24">
        <f t="shared" si="9"/>
        <v>37317422.318174861</v>
      </c>
      <c r="AS22" s="24">
        <f t="shared" si="9"/>
        <v>38382512.904426612</v>
      </c>
      <c r="AT22" s="24">
        <f t="shared" si="9"/>
        <v>39354469.167153105</v>
      </c>
      <c r="AU22" s="24">
        <f t="shared" si="9"/>
        <v>40242749.361555122</v>
      </c>
      <c r="AV22" s="24">
        <f t="shared" si="9"/>
        <v>41056069.353998691</v>
      </c>
      <c r="AW22" s="24">
        <f t="shared" si="9"/>
        <v>41804974.909289315</v>
      </c>
      <c r="AX22" s="24">
        <f t="shared" si="9"/>
        <v>42496388.021504767</v>
      </c>
      <c r="AY22" s="24">
        <f t="shared" si="9"/>
        <v>43136719.901333481</v>
      </c>
      <c r="AZ22" s="24">
        <f t="shared" si="9"/>
        <v>43731128.823282517</v>
      </c>
      <c r="BA22" s="24">
        <f t="shared" si="9"/>
        <v>44284884.128397904</v>
      </c>
      <c r="BB22" s="24">
        <f t="shared" si="9"/>
        <v>44802213.50634598</v>
      </c>
      <c r="BC22" s="24">
        <f t="shared" si="9"/>
        <v>45287540.529678293</v>
      </c>
      <c r="BD22" s="24">
        <f t="shared" si="9"/>
        <v>45744324.228313342</v>
      </c>
      <c r="BE22" s="24">
        <f t="shared" si="9"/>
        <v>46176289.616935402</v>
      </c>
      <c r="BF22" s="24">
        <f t="shared" si="9"/>
        <v>46586834.549641311</v>
      </c>
      <c r="BG22" s="24">
        <f t="shared" si="9"/>
        <v>46978378.145824067</v>
      </c>
      <c r="BH22" s="24">
        <f t="shared" si="9"/>
        <v>47353807.673600346</v>
      </c>
      <c r="BI22" s="24">
        <f t="shared" si="9"/>
        <v>47715186.117129534</v>
      </c>
      <c r="BJ22" s="24">
        <f t="shared" si="9"/>
        <v>48064969.961295888</v>
      </c>
      <c r="BK22" s="24">
        <f>IFERROR(LOOKUP(2,1/((YEAR(EDATE(Controls!$B$6,COLUMN($C$1:$BJ$1)-COLUMN($C$1)))=YEAR(Controls!$B$6)+0)*(COLUMN($C$1:$BJ$1)-COLUMN($C$1)&lt;Controls!$B$7)),$C$22:$BJ$22),0)</f>
        <v>2641193.8403226146</v>
      </c>
      <c r="BL22" s="24">
        <f>IFERROR(LOOKUP(2,1/((YEAR(EDATE(Controls!$B$6,COLUMN($C$1:$BJ$1)-COLUMN($C$1)))=YEAR(Controls!$B$6)+1)*(COLUMN($C$1:$BJ$1)-COLUMN($C$1)&lt;Controls!$B$7)),$C$22:$BJ$22),0)</f>
        <v>10585074.489346262</v>
      </c>
      <c r="BM22" s="24">
        <f>IFERROR(LOOKUP(2,1/((YEAR(EDATE(Controls!$B$6,COLUMN($C$1:$BJ$1)-COLUMN($C$1)))=YEAR(Controls!$B$6)+2)*(COLUMN($C$1:$BJ$1)-COLUMN($C$1)&lt;Controls!$B$7)),$C$22:$BJ$22),0)</f>
        <v>28382464.738965981</v>
      </c>
      <c r="BN22" s="24">
        <f>IFERROR(LOOKUP(2,1/((YEAR(EDATE(Controls!$B$6,COLUMN($C$1:$BJ$1)-COLUMN($C$1)))=YEAR(Controls!$B$6)+3)*(COLUMN($C$1:$BJ$1)-COLUMN($C$1)&lt;Controls!$B$7)),$C$22:$BJ$22),0)</f>
        <v>0</v>
      </c>
      <c r="BO22" s="24">
        <f>IFERROR(LOOKUP(2,1/((YEAR(EDATE(Controls!$B$6,COLUMN($C$1:$BJ$1)-COLUMN($C$1)))=YEAR(Controls!$B$6)+4)*(COLUMN($C$1:$BJ$1)-COLUMN($C$1)&lt;Controls!$B$7)),$C$22:$BJ$22),0)</f>
        <v>0</v>
      </c>
      <c r="BP22" s="24">
        <f>IFERROR(LOOKUP(2,1/((YEAR(EDATE(Controls!$B$6,COLUMN($C$1:$BJ$1)-COLUMN($C$1)))=YEAR(Controls!$B$6)+5)*(COLUMN($C$1:$BJ$1)-COLUMN($C$1)&lt;Controls!$B$7)),$C$22:$BJ$22),0)</f>
        <v>0</v>
      </c>
    </row>
    <row r="24" spans="1:68" ht="18" customHeight="1" x14ac:dyDescent="0.35">
      <c r="A24" s="58" t="s">
        <v>318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</row>
    <row r="25" spans="1:68" x14ac:dyDescent="0.35">
      <c r="A25" s="15" t="s">
        <v>319</v>
      </c>
      <c r="B25" s="20" t="s">
        <v>124</v>
      </c>
      <c r="C25" s="24">
        <f>Controls!$B$19</f>
        <v>1000000</v>
      </c>
      <c r="D25" s="24">
        <f>Controls!$B$19</f>
        <v>1000000</v>
      </c>
      <c r="E25" s="24">
        <f>Controls!$B$19</f>
        <v>1000000</v>
      </c>
      <c r="F25" s="24">
        <f>Controls!$B$19</f>
        <v>1000000</v>
      </c>
      <c r="G25" s="24">
        <f>Controls!$B$19</f>
        <v>1000000</v>
      </c>
      <c r="H25" s="24">
        <f>Controls!$B$19</f>
        <v>1000000</v>
      </c>
      <c r="I25" s="24">
        <f>Controls!$B$19</f>
        <v>1000000</v>
      </c>
      <c r="J25" s="24">
        <f>Controls!$B$19</f>
        <v>1000000</v>
      </c>
      <c r="K25" s="24">
        <f>Controls!$B$19</f>
        <v>1000000</v>
      </c>
      <c r="L25" s="24">
        <f>Controls!$B$19</f>
        <v>1000000</v>
      </c>
      <c r="M25" s="24">
        <f>Controls!$B$19</f>
        <v>1000000</v>
      </c>
      <c r="N25" s="24">
        <f>Controls!$B$19</f>
        <v>1000000</v>
      </c>
      <c r="O25" s="24">
        <f>Controls!$B$19</f>
        <v>1000000</v>
      </c>
      <c r="P25" s="24">
        <f>Controls!$B$19</f>
        <v>1000000</v>
      </c>
      <c r="Q25" s="24">
        <f>Controls!$B$19</f>
        <v>1000000</v>
      </c>
      <c r="R25" s="24">
        <f>Controls!$B$19</f>
        <v>1000000</v>
      </c>
      <c r="S25" s="24">
        <f>Controls!$B$19</f>
        <v>1000000</v>
      </c>
      <c r="T25" s="24">
        <f>Controls!$B$19</f>
        <v>1000000</v>
      </c>
      <c r="U25" s="24">
        <f>Controls!$B$19</f>
        <v>1000000</v>
      </c>
      <c r="V25" s="24">
        <f>Controls!$B$19</f>
        <v>1000000</v>
      </c>
      <c r="W25" s="24">
        <f>Controls!$B$19</f>
        <v>1000000</v>
      </c>
      <c r="X25" s="24">
        <f>Controls!$B$19</f>
        <v>1000000</v>
      </c>
      <c r="Y25" s="24">
        <f>Controls!$B$19</f>
        <v>1000000</v>
      </c>
      <c r="Z25" s="24">
        <f>Controls!$B$19</f>
        <v>1000000</v>
      </c>
      <c r="AA25" s="24">
        <f>Controls!$B$19</f>
        <v>1000000</v>
      </c>
      <c r="AB25" s="24">
        <f>Controls!$B$19</f>
        <v>1000000</v>
      </c>
      <c r="AC25" s="24">
        <f>Controls!$B$19</f>
        <v>1000000</v>
      </c>
      <c r="AD25" s="24">
        <f>Controls!$B$19</f>
        <v>1000000</v>
      </c>
      <c r="AE25" s="24">
        <f>Controls!$B$19</f>
        <v>1000000</v>
      </c>
      <c r="AF25" s="24">
        <f>Controls!$B$19</f>
        <v>1000000</v>
      </c>
      <c r="AG25" s="24">
        <f>Controls!$B$19</f>
        <v>1000000</v>
      </c>
      <c r="AH25" s="24">
        <f>Controls!$B$19</f>
        <v>1000000</v>
      </c>
      <c r="AI25" s="24">
        <f>Controls!$B$19</f>
        <v>1000000</v>
      </c>
      <c r="AJ25" s="24">
        <f>Controls!$B$19</f>
        <v>1000000</v>
      </c>
      <c r="AK25" s="24">
        <f>Controls!$B$19</f>
        <v>1000000</v>
      </c>
      <c r="AL25" s="24">
        <f>Controls!$B$19</f>
        <v>1000000</v>
      </c>
      <c r="AM25" s="24">
        <f>Controls!$B$19</f>
        <v>1000000</v>
      </c>
      <c r="AN25" s="24">
        <f>Controls!$B$19</f>
        <v>1000000</v>
      </c>
      <c r="AO25" s="24">
        <f>Controls!$B$19</f>
        <v>1000000</v>
      </c>
      <c r="AP25" s="24">
        <f>Controls!$B$19</f>
        <v>1000000</v>
      </c>
      <c r="AQ25" s="24">
        <f>Controls!$B$19</f>
        <v>1000000</v>
      </c>
      <c r="AR25" s="24">
        <f>Controls!$B$19</f>
        <v>1000000</v>
      </c>
      <c r="AS25" s="24">
        <f>Controls!$B$19</f>
        <v>1000000</v>
      </c>
      <c r="AT25" s="24">
        <f>Controls!$B$19</f>
        <v>1000000</v>
      </c>
      <c r="AU25" s="24">
        <f>Controls!$B$19</f>
        <v>1000000</v>
      </c>
      <c r="AV25" s="24">
        <f>Controls!$B$19</f>
        <v>1000000</v>
      </c>
      <c r="AW25" s="24">
        <f>Controls!$B$19</f>
        <v>1000000</v>
      </c>
      <c r="AX25" s="24">
        <f>Controls!$B$19</f>
        <v>1000000</v>
      </c>
      <c r="AY25" s="24">
        <f>Controls!$B$19</f>
        <v>1000000</v>
      </c>
      <c r="AZ25" s="24">
        <f>Controls!$B$19</f>
        <v>1000000</v>
      </c>
      <c r="BA25" s="24">
        <f>Controls!$B$19</f>
        <v>1000000</v>
      </c>
      <c r="BB25" s="24">
        <f>Controls!$B$19</f>
        <v>1000000</v>
      </c>
      <c r="BC25" s="24">
        <f>Controls!$B$19</f>
        <v>1000000</v>
      </c>
      <c r="BD25" s="24">
        <f>Controls!$B$19</f>
        <v>1000000</v>
      </c>
      <c r="BE25" s="24">
        <f>Controls!$B$19</f>
        <v>1000000</v>
      </c>
      <c r="BF25" s="24">
        <f>Controls!$B$19</f>
        <v>1000000</v>
      </c>
      <c r="BG25" s="24">
        <f>Controls!$B$19</f>
        <v>1000000</v>
      </c>
      <c r="BH25" s="24">
        <f>Controls!$B$19</f>
        <v>1000000</v>
      </c>
      <c r="BI25" s="24">
        <f>Controls!$B$19</f>
        <v>1000000</v>
      </c>
      <c r="BJ25" s="24">
        <f>Controls!$B$19</f>
        <v>1000000</v>
      </c>
      <c r="BK25" s="24">
        <f>IFERROR(LOOKUP(2,1/((YEAR(EDATE(Controls!$B$6,COLUMN($C$1:$BJ$1)-COLUMN($C$1)))=YEAR(Controls!$B$6)+0)*(COLUMN($C$1:$BJ$1)-COLUMN($C$1)&lt;Controls!$B$7)),$C$25:$BJ$25),0)</f>
        <v>1000000</v>
      </c>
      <c r="BL25" s="24">
        <f>IFERROR(LOOKUP(2,1/((YEAR(EDATE(Controls!$B$6,COLUMN($C$1:$BJ$1)-COLUMN($C$1)))=YEAR(Controls!$B$6)+1)*(COLUMN($C$1:$BJ$1)-COLUMN($C$1)&lt;Controls!$B$7)),$C$25:$BJ$25),0)</f>
        <v>1000000</v>
      </c>
      <c r="BM25" s="24">
        <f>IFERROR(LOOKUP(2,1/((YEAR(EDATE(Controls!$B$6,COLUMN($C$1:$BJ$1)-COLUMN($C$1)))=YEAR(Controls!$B$6)+2)*(COLUMN($C$1:$BJ$1)-COLUMN($C$1)&lt;Controls!$B$7)),$C$25:$BJ$25),0)</f>
        <v>1000000</v>
      </c>
      <c r="BN25" s="24">
        <f>IFERROR(LOOKUP(2,1/((YEAR(EDATE(Controls!$B$6,COLUMN($C$1:$BJ$1)-COLUMN($C$1)))=YEAR(Controls!$B$6)+3)*(COLUMN($C$1:$BJ$1)-COLUMN($C$1)&lt;Controls!$B$7)),$C$25:$BJ$25),0)</f>
        <v>0</v>
      </c>
      <c r="BO25" s="24">
        <f>IFERROR(LOOKUP(2,1/((YEAR(EDATE(Controls!$B$6,COLUMN($C$1:$BJ$1)-COLUMN($C$1)))=YEAR(Controls!$B$6)+4)*(COLUMN($C$1:$BJ$1)-COLUMN($C$1)&lt;Controls!$B$7)),$C$25:$BJ$25),0)</f>
        <v>0</v>
      </c>
      <c r="BP25" s="24">
        <f>IFERROR(LOOKUP(2,1/((YEAR(EDATE(Controls!$B$6,COLUMN($C$1:$BJ$1)-COLUMN($C$1)))=YEAR(Controls!$B$6)+5)*(COLUMN($C$1:$BJ$1)-COLUMN($C$1)&lt;Controls!$B$7)),$C$25:$BJ$25),0)</f>
        <v>0</v>
      </c>
    </row>
    <row r="26" spans="1:68" x14ac:dyDescent="0.35">
      <c r="A26" s="15" t="s">
        <v>320</v>
      </c>
      <c r="B26" s="20" t="s">
        <v>124</v>
      </c>
      <c r="C26" s="24">
        <f>'P&amp;L'!C50</f>
        <v>-79653.406000000003</v>
      </c>
      <c r="D26" s="24">
        <f>C26+'P&amp;L'!D50</f>
        <v>-146950.83712799998</v>
      </c>
      <c r="E26" s="24">
        <f>D26+'P&amp;L'!E50</f>
        <v>-198531.18836592854</v>
      </c>
      <c r="F26" s="24">
        <f>E26+'P&amp;L'!F50</f>
        <v>-231124.30595946265</v>
      </c>
      <c r="G26" s="24">
        <f>F26+'P&amp;L'!G50</f>
        <v>-241076.09585134199</v>
      </c>
      <c r="H26" s="24">
        <f>G26+'P&amp;L'!H50</f>
        <v>-229065.82297207392</v>
      </c>
      <c r="I26" s="24">
        <f>H26+'P&amp;L'!I50</f>
        <v>-195039.88586803142</v>
      </c>
      <c r="J26" s="24">
        <f>I26+'P&amp;L'!J50</f>
        <v>-136614.64546975848</v>
      </c>
      <c r="K26" s="24">
        <f>J26+'P&amp;L'!K50</f>
        <v>-51345.605525697509</v>
      </c>
      <c r="L26" s="24">
        <f>K26+'P&amp;L'!L50</f>
        <v>63580.204433956504</v>
      </c>
      <c r="M26" s="24">
        <f>L26+'P&amp;L'!M50</f>
        <v>210747.0451816408</v>
      </c>
      <c r="N26" s="24">
        <f>M26+'P&amp;L'!N50</f>
        <v>392825.47508599726</v>
      </c>
      <c r="O26" s="24">
        <f>N26+'P&amp;L'!O50</f>
        <v>595975.66247579374</v>
      </c>
      <c r="P26" s="24">
        <f>O26+'P&amp;L'!P50</f>
        <v>840920.8103172353</v>
      </c>
      <c r="Q26" s="24">
        <f>P26+'P&amp;L'!Q50</f>
        <v>1130169.9166575279</v>
      </c>
      <c r="R26" s="24">
        <f>Q26+'P&amp;L'!R50</f>
        <v>1467617.6320148699</v>
      </c>
      <c r="S26" s="24">
        <f>R26+'P&amp;L'!S50</f>
        <v>1855986.7395169893</v>
      </c>
      <c r="T26" s="24">
        <f>S26+'P&amp;L'!T50</f>
        <v>2298910.6377233006</v>
      </c>
      <c r="U26" s="24">
        <f>T26+'P&amp;L'!U50</f>
        <v>2800576.8685961203</v>
      </c>
      <c r="V26" s="24">
        <f>U26+'P&amp;L'!V50</f>
        <v>3364948.7970155659</v>
      </c>
      <c r="W26" s="24">
        <f>V26+'P&amp;L'!W50</f>
        <v>3996956.4888822548</v>
      </c>
      <c r="X26" s="24">
        <f>W26+'P&amp;L'!X50</f>
        <v>4700756.7995527796</v>
      </c>
      <c r="Y26" s="24">
        <f>X26+'P&amp;L'!Y50</f>
        <v>5481756.2507508798</v>
      </c>
      <c r="Z26" s="24">
        <f>Y26+'P&amp;L'!Z50</f>
        <v>6344530.176658161</v>
      </c>
      <c r="AA26" s="24">
        <f>Z26+'P&amp;L'!AA50</f>
        <v>7273464.4947414855</v>
      </c>
      <c r="AB26" s="24">
        <f>AA26+'P&amp;L'!AB50</f>
        <v>8296424.0928406715</v>
      </c>
      <c r="AC26" s="24">
        <f>AB26+'P&amp;L'!AC50</f>
        <v>9419552.1150992345</v>
      </c>
      <c r="AD26" s="24">
        <f>AC26+'P&amp;L'!AD50</f>
        <v>10649969.388462214</v>
      </c>
      <c r="AE26" s="24">
        <f>AD26+'P&amp;L'!AE50</f>
        <v>11994442.544292448</v>
      </c>
      <c r="AF26" s="24">
        <f>AE26+'P&amp;L'!AF50</f>
        <v>13461114.31366758</v>
      </c>
      <c r="AG26" s="24">
        <f>AF26+'P&amp;L'!AG50</f>
        <v>15057715.165248696</v>
      </c>
      <c r="AH26" s="24">
        <f>AG26+'P&amp;L'!AH50</f>
        <v>16793436.83520158</v>
      </c>
      <c r="AI26" s="24">
        <f>AH26+'P&amp;L'!AI50</f>
        <v>18677252.118950713</v>
      </c>
      <c r="AJ26" s="24">
        <f>AI26+'P&amp;L'!AJ50</f>
        <v>20719372.642755222</v>
      </c>
      <c r="AK26" s="24">
        <f>AJ26+'P&amp;L'!AK50</f>
        <v>22929974.907096576</v>
      </c>
      <c r="AL26" s="24">
        <f>AK26+'P&amp;L'!AL50</f>
        <v>25320395.287559845</v>
      </c>
      <c r="AM26" s="24">
        <f>AL26+'P&amp;L'!AM50</f>
        <v>27955199.034881875</v>
      </c>
      <c r="AN26" s="24">
        <f>AM26+'P&amp;L'!AN50</f>
        <v>30715338.184676293</v>
      </c>
      <c r="AO26" s="24">
        <f>AN26+'P&amp;L'!AO50</f>
        <v>33588830.802991048</v>
      </c>
      <c r="AP26" s="24">
        <f>AO26+'P&amp;L'!AP50</f>
        <v>36565670.637571894</v>
      </c>
      <c r="AQ26" s="24">
        <f>AP26+'P&amp;L'!AQ50</f>
        <v>39635949.489219397</v>
      </c>
      <c r="AR26" s="24">
        <f>AQ26+'P&amp;L'!AR50</f>
        <v>42791711.138375662</v>
      </c>
      <c r="AS26" s="24">
        <f>AR26+'P&amp;L'!AS50</f>
        <v>46024887.441920146</v>
      </c>
      <c r="AT26" s="24">
        <f>AS26+'P&amp;L'!AT50</f>
        <v>49329058.973119304</v>
      </c>
      <c r="AU26" s="24">
        <f>AT26+'P&amp;L'!AU50</f>
        <v>52697581.219515853</v>
      </c>
      <c r="AV26" s="24">
        <f>AU26+'P&amp;L'!AV50</f>
        <v>56125467.918024436</v>
      </c>
      <c r="AW26" s="24">
        <f>AV26+'P&amp;L'!AW50</f>
        <v>59607579.63714052</v>
      </c>
      <c r="AX26" s="24">
        <f>AW26+'P&amp;L'!AX50</f>
        <v>63139727.345721453</v>
      </c>
      <c r="AY26" s="24">
        <f>AX26+'P&amp;L'!AY50</f>
        <v>66718232.461260445</v>
      </c>
      <c r="AZ26" s="24">
        <f>AY26+'P&amp;L'!AZ50</f>
        <v>70340194.475133657</v>
      </c>
      <c r="BA26" s="24">
        <f>AZ26+'P&amp;L'!BA50</f>
        <v>74002689.716144949</v>
      </c>
      <c r="BB26" s="24">
        <f>BA26+'P&amp;L'!BB50</f>
        <v>77702556.328148142</v>
      </c>
      <c r="BC26" s="24">
        <f>BB26+'P&amp;L'!BC50</f>
        <v>81438008.372571602</v>
      </c>
      <c r="BD26" s="24">
        <f>BC26+'P&amp;L'!BD50</f>
        <v>85206476.58934021</v>
      </c>
      <c r="BE26" s="24">
        <f>BD26+'P&amp;L'!BE50</f>
        <v>89006715.257186562</v>
      </c>
      <c r="BF26" s="24">
        <f>BE26+'P&amp;L'!BF50</f>
        <v>92837246.98462379</v>
      </c>
      <c r="BG26" s="24">
        <f>BF26+'P&amp;L'!BG50</f>
        <v>96696191.922505856</v>
      </c>
      <c r="BH26" s="24">
        <f>BG26+'P&amp;L'!BH50</f>
        <v>100582959.47355352</v>
      </c>
      <c r="BI26" s="24">
        <f>BH26+'P&amp;L'!BI50</f>
        <v>104496558.55067883</v>
      </c>
      <c r="BJ26" s="24">
        <f>BI26+'P&amp;L'!BJ50</f>
        <v>108435764.00138807</v>
      </c>
      <c r="BK26" s="24">
        <f>IFERROR(LOOKUP(2,1/((YEAR(EDATE(Controls!$B$6,COLUMN($C$1:$BJ$1)-COLUMN($C$1)))=YEAR(Controls!$B$6)+0)*(COLUMN($C$1:$BJ$1)-COLUMN($C$1)&lt;Controls!$B$7)),$C$26:$BJ$26),0)</f>
        <v>392825.47508599726</v>
      </c>
      <c r="BL26" s="24">
        <f>IFERROR(LOOKUP(2,1/((YEAR(EDATE(Controls!$B$6,COLUMN($C$1:$BJ$1)-COLUMN($C$1)))=YEAR(Controls!$B$6)+1)*(COLUMN($C$1:$BJ$1)-COLUMN($C$1)&lt;Controls!$B$7)),$C$26:$BJ$26),0)</f>
        <v>6344530.176658161</v>
      </c>
      <c r="BM26" s="24">
        <f>IFERROR(LOOKUP(2,1/((YEAR(EDATE(Controls!$B$6,COLUMN($C$1:$BJ$1)-COLUMN($C$1)))=YEAR(Controls!$B$6)+2)*(COLUMN($C$1:$BJ$1)-COLUMN($C$1)&lt;Controls!$B$7)),$C$26:$BJ$26),0)</f>
        <v>25320395.287559845</v>
      </c>
      <c r="BN26" s="24">
        <f>IFERROR(LOOKUP(2,1/((YEAR(EDATE(Controls!$B$6,COLUMN($C$1:$BJ$1)-COLUMN($C$1)))=YEAR(Controls!$B$6)+3)*(COLUMN($C$1:$BJ$1)-COLUMN($C$1)&lt;Controls!$B$7)),$C$26:$BJ$26),0)</f>
        <v>0</v>
      </c>
      <c r="BO26" s="24">
        <f>IFERROR(LOOKUP(2,1/((YEAR(EDATE(Controls!$B$6,COLUMN($C$1:$BJ$1)-COLUMN($C$1)))=YEAR(Controls!$B$6)+4)*(COLUMN($C$1:$BJ$1)-COLUMN($C$1)&lt;Controls!$B$7)),$C$26:$BJ$26),0)</f>
        <v>0</v>
      </c>
      <c r="BP26" s="24">
        <f>IFERROR(LOOKUP(2,1/((YEAR(EDATE(Controls!$B$6,COLUMN($C$1:$BJ$1)-COLUMN($C$1)))=YEAR(Controls!$B$6)+5)*(COLUMN($C$1:$BJ$1)-COLUMN($C$1)&lt;Controls!$B$7)),$C$26:$BJ$26),0)</f>
        <v>0</v>
      </c>
    </row>
    <row r="27" spans="1:68" x14ac:dyDescent="0.35">
      <c r="A27" s="6" t="s">
        <v>321</v>
      </c>
      <c r="B27" s="20" t="s">
        <v>124</v>
      </c>
      <c r="C27" s="24">
        <f t="shared" ref="C27:AH27" si="10">C25+C26</f>
        <v>920346.59400000004</v>
      </c>
      <c r="D27" s="24">
        <f t="shared" si="10"/>
        <v>853049.16287200002</v>
      </c>
      <c r="E27" s="24">
        <f t="shared" si="10"/>
        <v>801468.8116340714</v>
      </c>
      <c r="F27" s="24">
        <f t="shared" si="10"/>
        <v>768875.69404053735</v>
      </c>
      <c r="G27" s="24">
        <f t="shared" si="10"/>
        <v>758923.90414865804</v>
      </c>
      <c r="H27" s="24">
        <f t="shared" si="10"/>
        <v>770934.17702792608</v>
      </c>
      <c r="I27" s="24">
        <f t="shared" si="10"/>
        <v>804960.11413196858</v>
      </c>
      <c r="J27" s="24">
        <f t="shared" si="10"/>
        <v>863385.35453024157</v>
      </c>
      <c r="K27" s="24">
        <f t="shared" si="10"/>
        <v>948654.39447430253</v>
      </c>
      <c r="L27" s="24">
        <f t="shared" si="10"/>
        <v>1063580.2044339564</v>
      </c>
      <c r="M27" s="24">
        <f t="shared" si="10"/>
        <v>1210747.0451816409</v>
      </c>
      <c r="N27" s="24">
        <f t="shared" si="10"/>
        <v>1392825.4750859973</v>
      </c>
      <c r="O27" s="24">
        <f t="shared" si="10"/>
        <v>1595975.6624757936</v>
      </c>
      <c r="P27" s="24">
        <f t="shared" si="10"/>
        <v>1840920.8103172353</v>
      </c>
      <c r="Q27" s="24">
        <f t="shared" si="10"/>
        <v>2130169.9166575279</v>
      </c>
      <c r="R27" s="24">
        <f t="shared" si="10"/>
        <v>2467617.6320148697</v>
      </c>
      <c r="S27" s="24">
        <f t="shared" si="10"/>
        <v>2855986.7395169893</v>
      </c>
      <c r="T27" s="24">
        <f t="shared" si="10"/>
        <v>3298910.6377233006</v>
      </c>
      <c r="U27" s="24">
        <f t="shared" si="10"/>
        <v>3800576.8685961203</v>
      </c>
      <c r="V27" s="24">
        <f t="shared" si="10"/>
        <v>4364948.7970155664</v>
      </c>
      <c r="W27" s="24">
        <f t="shared" si="10"/>
        <v>4996956.4888822548</v>
      </c>
      <c r="X27" s="24">
        <f t="shared" si="10"/>
        <v>5700756.7995527796</v>
      </c>
      <c r="Y27" s="24">
        <f t="shared" si="10"/>
        <v>6481756.2507508798</v>
      </c>
      <c r="Z27" s="24">
        <f t="shared" si="10"/>
        <v>7344530.176658161</v>
      </c>
      <c r="AA27" s="24">
        <f t="shared" si="10"/>
        <v>8273464.4947414855</v>
      </c>
      <c r="AB27" s="24">
        <f t="shared" si="10"/>
        <v>9296424.0928406715</v>
      </c>
      <c r="AC27" s="24">
        <f t="shared" si="10"/>
        <v>10419552.115099235</v>
      </c>
      <c r="AD27" s="24">
        <f t="shared" si="10"/>
        <v>11649969.388462214</v>
      </c>
      <c r="AE27" s="24">
        <f t="shared" si="10"/>
        <v>12994442.544292448</v>
      </c>
      <c r="AF27" s="24">
        <f t="shared" si="10"/>
        <v>14461114.31366758</v>
      </c>
      <c r="AG27" s="24">
        <f t="shared" si="10"/>
        <v>16057715.165248696</v>
      </c>
      <c r="AH27" s="24">
        <f t="shared" si="10"/>
        <v>17793436.83520158</v>
      </c>
      <c r="AI27" s="24">
        <f t="shared" ref="AI27:BJ27" si="11">AI25+AI26</f>
        <v>19677252.118950713</v>
      </c>
      <c r="AJ27" s="24">
        <f t="shared" si="11"/>
        <v>21719372.642755222</v>
      </c>
      <c r="AK27" s="24">
        <f t="shared" si="11"/>
        <v>23929974.907096576</v>
      </c>
      <c r="AL27" s="24">
        <f t="shared" si="11"/>
        <v>26320395.287559845</v>
      </c>
      <c r="AM27" s="24">
        <f t="shared" si="11"/>
        <v>28955199.034881875</v>
      </c>
      <c r="AN27" s="24">
        <f t="shared" si="11"/>
        <v>31715338.184676293</v>
      </c>
      <c r="AO27" s="24">
        <f t="shared" si="11"/>
        <v>34588830.802991048</v>
      </c>
      <c r="AP27" s="24">
        <f t="shared" si="11"/>
        <v>37565670.637571894</v>
      </c>
      <c r="AQ27" s="24">
        <f t="shared" si="11"/>
        <v>40635949.489219397</v>
      </c>
      <c r="AR27" s="24">
        <f t="shared" si="11"/>
        <v>43791711.138375662</v>
      </c>
      <c r="AS27" s="24">
        <f t="shared" si="11"/>
        <v>47024887.441920146</v>
      </c>
      <c r="AT27" s="24">
        <f t="shared" si="11"/>
        <v>50329058.973119304</v>
      </c>
      <c r="AU27" s="24">
        <f t="shared" si="11"/>
        <v>53697581.219515853</v>
      </c>
      <c r="AV27" s="24">
        <f t="shared" si="11"/>
        <v>57125467.918024436</v>
      </c>
      <c r="AW27" s="24">
        <f t="shared" si="11"/>
        <v>60607579.63714052</v>
      </c>
      <c r="AX27" s="24">
        <f t="shared" si="11"/>
        <v>64139727.345721453</v>
      </c>
      <c r="AY27" s="24">
        <f t="shared" si="11"/>
        <v>67718232.461260438</v>
      </c>
      <c r="AZ27" s="24">
        <f t="shared" si="11"/>
        <v>71340194.475133657</v>
      </c>
      <c r="BA27" s="24">
        <f t="shared" si="11"/>
        <v>75002689.716144949</v>
      </c>
      <c r="BB27" s="24">
        <f t="shared" si="11"/>
        <v>78702556.328148142</v>
      </c>
      <c r="BC27" s="24">
        <f t="shared" si="11"/>
        <v>82438008.372571602</v>
      </c>
      <c r="BD27" s="24">
        <f t="shared" si="11"/>
        <v>86206476.58934021</v>
      </c>
      <c r="BE27" s="24">
        <f t="shared" si="11"/>
        <v>90006715.257186562</v>
      </c>
      <c r="BF27" s="24">
        <f t="shared" si="11"/>
        <v>93837246.98462379</v>
      </c>
      <c r="BG27" s="24">
        <f t="shared" si="11"/>
        <v>97696191.922505856</v>
      </c>
      <c r="BH27" s="24">
        <f t="shared" si="11"/>
        <v>101582959.47355352</v>
      </c>
      <c r="BI27" s="24">
        <f t="shared" si="11"/>
        <v>105496558.55067883</v>
      </c>
      <c r="BJ27" s="24">
        <f t="shared" si="11"/>
        <v>109435764.00138807</v>
      </c>
      <c r="BK27" s="24">
        <f>IFERROR(LOOKUP(2,1/((YEAR(EDATE(Controls!$B$6,COLUMN($C$1:$BJ$1)-COLUMN($C$1)))=YEAR(Controls!$B$6)+0)*(COLUMN($C$1:$BJ$1)-COLUMN($C$1)&lt;Controls!$B$7)),$C$27:$BJ$27),0)</f>
        <v>1392825.4750859973</v>
      </c>
      <c r="BL27" s="24">
        <f>IFERROR(LOOKUP(2,1/((YEAR(EDATE(Controls!$B$6,COLUMN($C$1:$BJ$1)-COLUMN($C$1)))=YEAR(Controls!$B$6)+1)*(COLUMN($C$1:$BJ$1)-COLUMN($C$1)&lt;Controls!$B$7)),$C$27:$BJ$27),0)</f>
        <v>7344530.176658161</v>
      </c>
      <c r="BM27" s="24">
        <f>IFERROR(LOOKUP(2,1/((YEAR(EDATE(Controls!$B$6,COLUMN($C$1:$BJ$1)-COLUMN($C$1)))=YEAR(Controls!$B$6)+2)*(COLUMN($C$1:$BJ$1)-COLUMN($C$1)&lt;Controls!$B$7)),$C$27:$BJ$27),0)</f>
        <v>26320395.287559845</v>
      </c>
      <c r="BN27" s="24">
        <f>IFERROR(LOOKUP(2,1/((YEAR(EDATE(Controls!$B$6,COLUMN($C$1:$BJ$1)-COLUMN($C$1)))=YEAR(Controls!$B$6)+3)*(COLUMN($C$1:$BJ$1)-COLUMN($C$1)&lt;Controls!$B$7)),$C$27:$BJ$27),0)</f>
        <v>0</v>
      </c>
      <c r="BO27" s="24">
        <f>IFERROR(LOOKUP(2,1/((YEAR(EDATE(Controls!$B$6,COLUMN($C$1:$BJ$1)-COLUMN($C$1)))=YEAR(Controls!$B$6)+4)*(COLUMN($C$1:$BJ$1)-COLUMN($C$1)&lt;Controls!$B$7)),$C$27:$BJ$27),0)</f>
        <v>0</v>
      </c>
      <c r="BP27" s="24">
        <f>IFERROR(LOOKUP(2,1/((YEAR(EDATE(Controls!$B$6,COLUMN($C$1:$BJ$1)-COLUMN($C$1)))=YEAR(Controls!$B$6)+5)*(COLUMN($C$1:$BJ$1)-COLUMN($C$1)&lt;Controls!$B$7)),$C$27:$BJ$27),0)</f>
        <v>0</v>
      </c>
    </row>
    <row r="28" spans="1:68" x14ac:dyDescent="0.35">
      <c r="A28" s="6" t="s">
        <v>322</v>
      </c>
      <c r="B28" s="20" t="s">
        <v>124</v>
      </c>
      <c r="C28" s="24">
        <f t="shared" ref="C28:AH28" si="12">C22+C27</f>
        <v>998807.16840000008</v>
      </c>
      <c r="D28" s="24">
        <f t="shared" si="12"/>
        <v>1006679.7873891999</v>
      </c>
      <c r="E28" s="24">
        <f t="shared" si="12"/>
        <v>1063096.6475165435</v>
      </c>
      <c r="F28" s="24">
        <f t="shared" si="12"/>
        <v>1169495.8686999574</v>
      </c>
      <c r="G28" s="24">
        <f t="shared" si="12"/>
        <v>1331278.5844996739</v>
      </c>
      <c r="H28" s="24">
        <f t="shared" si="12"/>
        <v>1546121.7385952405</v>
      </c>
      <c r="I28" s="24">
        <f t="shared" si="12"/>
        <v>1815317.187852635</v>
      </c>
      <c r="J28" s="24">
        <f t="shared" si="12"/>
        <v>2136884.7741370834</v>
      </c>
      <c r="K28" s="24">
        <f t="shared" si="12"/>
        <v>2515391.3579094899</v>
      </c>
      <c r="L28" s="24">
        <f t="shared" si="12"/>
        <v>2956215.6864745426</v>
      </c>
      <c r="M28" s="24">
        <f t="shared" si="12"/>
        <v>3460691.2786473949</v>
      </c>
      <c r="N28" s="24">
        <f t="shared" si="12"/>
        <v>4034019.3154086117</v>
      </c>
      <c r="O28" s="24">
        <f t="shared" si="12"/>
        <v>4673966.9344801307</v>
      </c>
      <c r="P28" s="24">
        <f t="shared" si="12"/>
        <v>5384697.3347710697</v>
      </c>
      <c r="Q28" s="24">
        <f t="shared" si="12"/>
        <v>6176841.8000927996</v>
      </c>
      <c r="R28" s="24">
        <f t="shared" si="12"/>
        <v>7056753.6271333583</v>
      </c>
      <c r="S28" s="24">
        <f t="shared" si="12"/>
        <v>8026170.8464531284</v>
      </c>
      <c r="T28" s="24">
        <f t="shared" si="12"/>
        <v>9091723.7955746055</v>
      </c>
      <c r="U28" s="24">
        <f t="shared" si="12"/>
        <v>10259722.443564076</v>
      </c>
      <c r="V28" s="24">
        <f t="shared" si="12"/>
        <v>11540325.402979869</v>
      </c>
      <c r="W28" s="24">
        <f t="shared" si="12"/>
        <v>12940717.743820172</v>
      </c>
      <c r="X28" s="24">
        <f t="shared" si="12"/>
        <v>14467297.44261832</v>
      </c>
      <c r="Y28" s="24">
        <f t="shared" si="12"/>
        <v>16127916.776220337</v>
      </c>
      <c r="Z28" s="24">
        <f t="shared" si="12"/>
        <v>17929604.666004423</v>
      </c>
      <c r="AA28" s="24">
        <f t="shared" si="12"/>
        <v>19874578.834430274</v>
      </c>
      <c r="AB28" s="24">
        <f t="shared" si="12"/>
        <v>21971468.222613335</v>
      </c>
      <c r="AC28" s="24">
        <f t="shared" si="12"/>
        <v>24244674.329074468</v>
      </c>
      <c r="AD28" s="24">
        <f t="shared" si="12"/>
        <v>26703083.623492993</v>
      </c>
      <c r="AE28" s="24">
        <f t="shared" si="12"/>
        <v>29359036.113151263</v>
      </c>
      <c r="AF28" s="24">
        <f t="shared" si="12"/>
        <v>32225897.737153322</v>
      </c>
      <c r="AG28" s="24">
        <f t="shared" si="12"/>
        <v>35317095.200038724</v>
      </c>
      <c r="AH28" s="24">
        <f t="shared" si="12"/>
        <v>38647630.908632308</v>
      </c>
      <c r="AI28" s="24">
        <f t="shared" ref="AI28:BJ28" si="13">AI22+AI27</f>
        <v>42234868.125596985</v>
      </c>
      <c r="AJ28" s="24">
        <f t="shared" si="13"/>
        <v>46093681.433787279</v>
      </c>
      <c r="AK28" s="24">
        <f t="shared" si="13"/>
        <v>50243102.103763804</v>
      </c>
      <c r="AL28" s="24">
        <f t="shared" si="13"/>
        <v>54702860.026525825</v>
      </c>
      <c r="AM28" s="24">
        <f t="shared" si="13"/>
        <v>59155205.802129984</v>
      </c>
      <c r="AN28" s="24">
        <f t="shared" si="13"/>
        <v>63621569.460310996</v>
      </c>
      <c r="AO28" s="24">
        <f t="shared" si="13"/>
        <v>68045747.020256609</v>
      </c>
      <c r="AP28" s="24">
        <f t="shared" si="13"/>
        <v>72432357.996769562</v>
      </c>
      <c r="AQ28" s="24">
        <f t="shared" si="13"/>
        <v>76785261.333852068</v>
      </c>
      <c r="AR28" s="24">
        <f t="shared" si="13"/>
        <v>81109133.456550524</v>
      </c>
      <c r="AS28" s="24">
        <f t="shared" si="13"/>
        <v>85407400.346346766</v>
      </c>
      <c r="AT28" s="24">
        <f t="shared" si="13"/>
        <v>89683528.140272409</v>
      </c>
      <c r="AU28" s="24">
        <f t="shared" si="13"/>
        <v>93940330.581070974</v>
      </c>
      <c r="AV28" s="24">
        <f t="shared" si="13"/>
        <v>98181537.272023126</v>
      </c>
      <c r="AW28" s="24">
        <f t="shared" si="13"/>
        <v>102412554.54642984</v>
      </c>
      <c r="AX28" s="24">
        <f t="shared" si="13"/>
        <v>106636115.36722621</v>
      </c>
      <c r="AY28" s="24">
        <f t="shared" si="13"/>
        <v>110854952.36259392</v>
      </c>
      <c r="AZ28" s="24">
        <f t="shared" si="13"/>
        <v>115071323.29841617</v>
      </c>
      <c r="BA28" s="24">
        <f t="shared" si="13"/>
        <v>119287573.84454286</v>
      </c>
      <c r="BB28" s="24">
        <f t="shared" si="13"/>
        <v>123504769.83449411</v>
      </c>
      <c r="BC28" s="24">
        <f t="shared" si="13"/>
        <v>127725548.9022499</v>
      </c>
      <c r="BD28" s="24">
        <f t="shared" si="13"/>
        <v>131950800.81765355</v>
      </c>
      <c r="BE28" s="24">
        <f t="shared" si="13"/>
        <v>136183004.87412196</v>
      </c>
      <c r="BF28" s="24">
        <f t="shared" si="13"/>
        <v>140424081.5342651</v>
      </c>
      <c r="BG28" s="24">
        <f t="shared" si="13"/>
        <v>144674570.06832993</v>
      </c>
      <c r="BH28" s="24">
        <f t="shared" si="13"/>
        <v>148936767.14715385</v>
      </c>
      <c r="BI28" s="24">
        <f t="shared" si="13"/>
        <v>153211744.66780835</v>
      </c>
      <c r="BJ28" s="24">
        <f t="shared" si="13"/>
        <v>157500733.96268398</v>
      </c>
      <c r="BK28" s="24">
        <f>IFERROR(LOOKUP(2,1/((YEAR(EDATE(Controls!$B$6,COLUMN($C$1:$BJ$1)-COLUMN($C$1)))=YEAR(Controls!$B$6)+0)*(COLUMN($C$1:$BJ$1)-COLUMN($C$1)&lt;Controls!$B$7)),$C$28:$BJ$28),0)</f>
        <v>4034019.3154086117</v>
      </c>
      <c r="BL28" s="24">
        <f>IFERROR(LOOKUP(2,1/((YEAR(EDATE(Controls!$B$6,COLUMN($C$1:$BJ$1)-COLUMN($C$1)))=YEAR(Controls!$B$6)+1)*(COLUMN($C$1:$BJ$1)-COLUMN($C$1)&lt;Controls!$B$7)),$C$28:$BJ$28),0)</f>
        <v>17929604.666004423</v>
      </c>
      <c r="BM28" s="24">
        <f>IFERROR(LOOKUP(2,1/((YEAR(EDATE(Controls!$B$6,COLUMN($C$1:$BJ$1)-COLUMN($C$1)))=YEAR(Controls!$B$6)+2)*(COLUMN($C$1:$BJ$1)-COLUMN($C$1)&lt;Controls!$B$7)),$C$28:$BJ$28),0)</f>
        <v>54702860.026525825</v>
      </c>
      <c r="BN28" s="24">
        <f>IFERROR(LOOKUP(2,1/((YEAR(EDATE(Controls!$B$6,COLUMN($C$1:$BJ$1)-COLUMN($C$1)))=YEAR(Controls!$B$6)+3)*(COLUMN($C$1:$BJ$1)-COLUMN($C$1)&lt;Controls!$B$7)),$C$28:$BJ$28),0)</f>
        <v>0</v>
      </c>
      <c r="BO28" s="24">
        <f>IFERROR(LOOKUP(2,1/((YEAR(EDATE(Controls!$B$6,COLUMN($C$1:$BJ$1)-COLUMN($C$1)))=YEAR(Controls!$B$6)+4)*(COLUMN($C$1:$BJ$1)-COLUMN($C$1)&lt;Controls!$B$7)),$C$28:$BJ$28),0)</f>
        <v>0</v>
      </c>
      <c r="BP28" s="24">
        <f>IFERROR(LOOKUP(2,1/((YEAR(EDATE(Controls!$B$6,COLUMN($C$1:$BJ$1)-COLUMN($C$1)))=YEAR(Controls!$B$6)+5)*(COLUMN($C$1:$BJ$1)-COLUMN($C$1)&lt;Controls!$B$7)),$C$28:$BJ$28),0)</f>
        <v>0</v>
      </c>
    </row>
    <row r="29" spans="1:68" x14ac:dyDescent="0.35">
      <c r="A29" s="25" t="s">
        <v>323</v>
      </c>
      <c r="B29" s="20" t="s">
        <v>124</v>
      </c>
      <c r="C29" s="24">
        <f t="shared" ref="C29:AH29" si="14">C14-C28</f>
        <v>0</v>
      </c>
      <c r="D29" s="24">
        <f t="shared" si="14"/>
        <v>0</v>
      </c>
      <c r="E29" s="24">
        <f t="shared" si="14"/>
        <v>0</v>
      </c>
      <c r="F29" s="24">
        <f t="shared" si="14"/>
        <v>0</v>
      </c>
      <c r="G29" s="24">
        <f t="shared" si="14"/>
        <v>0</v>
      </c>
      <c r="H29" s="24">
        <f t="shared" si="14"/>
        <v>0</v>
      </c>
      <c r="I29" s="24">
        <f t="shared" si="14"/>
        <v>0</v>
      </c>
      <c r="J29" s="24">
        <f t="shared" si="14"/>
        <v>0</v>
      </c>
      <c r="K29" s="24">
        <f t="shared" si="14"/>
        <v>0</v>
      </c>
      <c r="L29" s="24">
        <f t="shared" si="14"/>
        <v>0</v>
      </c>
      <c r="M29" s="24">
        <f t="shared" si="14"/>
        <v>0</v>
      </c>
      <c r="N29" s="24">
        <f t="shared" si="14"/>
        <v>0</v>
      </c>
      <c r="O29" s="24">
        <f t="shared" si="14"/>
        <v>0</v>
      </c>
      <c r="P29" s="24">
        <f t="shared" si="14"/>
        <v>0</v>
      </c>
      <c r="Q29" s="24">
        <f t="shared" si="14"/>
        <v>0</v>
      </c>
      <c r="R29" s="24">
        <f t="shared" si="14"/>
        <v>0</v>
      </c>
      <c r="S29" s="24">
        <f t="shared" si="14"/>
        <v>0</v>
      </c>
      <c r="T29" s="24">
        <f t="shared" si="14"/>
        <v>0</v>
      </c>
      <c r="U29" s="24">
        <f t="shared" si="14"/>
        <v>0</v>
      </c>
      <c r="V29" s="24">
        <f t="shared" si="14"/>
        <v>0</v>
      </c>
      <c r="W29" s="24">
        <f t="shared" si="14"/>
        <v>0</v>
      </c>
      <c r="X29" s="24">
        <f t="shared" si="14"/>
        <v>0</v>
      </c>
      <c r="Y29" s="24">
        <f t="shared" si="14"/>
        <v>0</v>
      </c>
      <c r="Z29" s="24">
        <f t="shared" si="14"/>
        <v>0</v>
      </c>
      <c r="AA29" s="24">
        <f t="shared" si="14"/>
        <v>0</v>
      </c>
      <c r="AB29" s="24">
        <f t="shared" si="14"/>
        <v>0</v>
      </c>
      <c r="AC29" s="24">
        <f t="shared" si="14"/>
        <v>0</v>
      </c>
      <c r="AD29" s="24">
        <f t="shared" si="14"/>
        <v>0</v>
      </c>
      <c r="AE29" s="24">
        <f t="shared" si="14"/>
        <v>0</v>
      </c>
      <c r="AF29" s="24">
        <f t="shared" si="14"/>
        <v>0</v>
      </c>
      <c r="AG29" s="24">
        <f t="shared" si="14"/>
        <v>0</v>
      </c>
      <c r="AH29" s="24">
        <f t="shared" si="14"/>
        <v>0</v>
      </c>
      <c r="AI29" s="24">
        <f t="shared" ref="AI29:BJ29" si="15">AI14-AI28</f>
        <v>0</v>
      </c>
      <c r="AJ29" s="24">
        <f t="shared" si="15"/>
        <v>0</v>
      </c>
      <c r="AK29" s="24">
        <f t="shared" si="15"/>
        <v>0</v>
      </c>
      <c r="AL29" s="24">
        <f t="shared" si="15"/>
        <v>0</v>
      </c>
      <c r="AM29" s="24">
        <f t="shared" si="15"/>
        <v>0</v>
      </c>
      <c r="AN29" s="24">
        <f t="shared" si="15"/>
        <v>0</v>
      </c>
      <c r="AO29" s="24">
        <f t="shared" si="15"/>
        <v>0</v>
      </c>
      <c r="AP29" s="24">
        <f t="shared" si="15"/>
        <v>0</v>
      </c>
      <c r="AQ29" s="24">
        <f t="shared" si="15"/>
        <v>0</v>
      </c>
      <c r="AR29" s="24">
        <f t="shared" si="15"/>
        <v>0</v>
      </c>
      <c r="AS29" s="24">
        <f t="shared" si="15"/>
        <v>0</v>
      </c>
      <c r="AT29" s="24">
        <f t="shared" si="15"/>
        <v>0</v>
      </c>
      <c r="AU29" s="24">
        <f t="shared" si="15"/>
        <v>0</v>
      </c>
      <c r="AV29" s="24">
        <f t="shared" si="15"/>
        <v>0</v>
      </c>
      <c r="AW29" s="24">
        <f t="shared" si="15"/>
        <v>0</v>
      </c>
      <c r="AX29" s="24">
        <f t="shared" si="15"/>
        <v>0</v>
      </c>
      <c r="AY29" s="24">
        <f t="shared" si="15"/>
        <v>0</v>
      </c>
      <c r="AZ29" s="24">
        <f t="shared" si="15"/>
        <v>0</v>
      </c>
      <c r="BA29" s="24">
        <f t="shared" si="15"/>
        <v>0</v>
      </c>
      <c r="BB29" s="24">
        <f t="shared" si="15"/>
        <v>0</v>
      </c>
      <c r="BC29" s="24">
        <f t="shared" si="15"/>
        <v>0</v>
      </c>
      <c r="BD29" s="24">
        <f t="shared" si="15"/>
        <v>0</v>
      </c>
      <c r="BE29" s="24">
        <f t="shared" si="15"/>
        <v>0</v>
      </c>
      <c r="BF29" s="24">
        <f t="shared" si="15"/>
        <v>0</v>
      </c>
      <c r="BG29" s="24">
        <f t="shared" si="15"/>
        <v>0</v>
      </c>
      <c r="BH29" s="24">
        <f t="shared" si="15"/>
        <v>0</v>
      </c>
      <c r="BI29" s="24">
        <f t="shared" si="15"/>
        <v>0</v>
      </c>
      <c r="BJ29" s="24">
        <f t="shared" si="15"/>
        <v>0</v>
      </c>
      <c r="BK29" s="24">
        <f>IFERROR(LOOKUP(2,1/((YEAR(EDATE(Controls!$B$6,COLUMN($C$1:$BJ$1)-COLUMN($C$1)))=YEAR(Controls!$B$6)+0)*(COLUMN($C$1:$BJ$1)-COLUMN($C$1)&lt;Controls!$B$7)),$C$29:$BJ$29),0)</f>
        <v>0</v>
      </c>
      <c r="BL29" s="24">
        <f>IFERROR(LOOKUP(2,1/((YEAR(EDATE(Controls!$B$6,COLUMN($C$1:$BJ$1)-COLUMN($C$1)))=YEAR(Controls!$B$6)+1)*(COLUMN($C$1:$BJ$1)-COLUMN($C$1)&lt;Controls!$B$7)),$C$29:$BJ$29),0)</f>
        <v>0</v>
      </c>
      <c r="BM29" s="24">
        <f>IFERROR(LOOKUP(2,1/((YEAR(EDATE(Controls!$B$6,COLUMN($C$1:$BJ$1)-COLUMN($C$1)))=YEAR(Controls!$B$6)+2)*(COLUMN($C$1:$BJ$1)-COLUMN($C$1)&lt;Controls!$B$7)),$C$29:$BJ$29),0)</f>
        <v>0</v>
      </c>
      <c r="BN29" s="24">
        <f>IFERROR(LOOKUP(2,1/((YEAR(EDATE(Controls!$B$6,COLUMN($C$1:$BJ$1)-COLUMN($C$1)))=YEAR(Controls!$B$6)+3)*(COLUMN($C$1:$BJ$1)-COLUMN($C$1)&lt;Controls!$B$7)),$C$29:$BJ$29),0)</f>
        <v>0</v>
      </c>
      <c r="BO29" s="24">
        <f>IFERROR(LOOKUP(2,1/((YEAR(EDATE(Controls!$B$6,COLUMN($C$1:$BJ$1)-COLUMN($C$1)))=YEAR(Controls!$B$6)+4)*(COLUMN($C$1:$BJ$1)-COLUMN($C$1)&lt;Controls!$B$7)),$C$29:$BJ$29),0)</f>
        <v>0</v>
      </c>
      <c r="BP29" s="24">
        <f>IFERROR(LOOKUP(2,1/((YEAR(EDATE(Controls!$B$6,COLUMN($C$1:$BJ$1)-COLUMN($C$1)))=YEAR(Controls!$B$6)+5)*(COLUMN($C$1:$BJ$1)-COLUMN($C$1)&lt;Controls!$B$7)),$C$29:$BJ$29),0)</f>
        <v>0</v>
      </c>
    </row>
  </sheetData>
  <mergeCells count="4">
    <mergeCell ref="A1:BM1"/>
    <mergeCell ref="A5:BP5"/>
    <mergeCell ref="A16:BP16"/>
    <mergeCell ref="A24:BP2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H62"/>
  <sheetViews>
    <sheetView showGridLines="0" topLeftCell="A48" zoomScaleNormal="100" workbookViewId="0">
      <selection activeCell="G66" sqref="G66"/>
    </sheetView>
  </sheetViews>
  <sheetFormatPr defaultColWidth="8.6328125" defaultRowHeight="14.5" x14ac:dyDescent="0.35"/>
  <cols>
    <col min="1" max="1" width="38" customWidth="1"/>
    <col min="2" max="2" width="10" customWidth="1"/>
    <col min="3" max="8" width="14" customWidth="1"/>
  </cols>
  <sheetData>
    <row r="1" spans="1:8" ht="31.5" customHeight="1" x14ac:dyDescent="0.35">
      <c r="A1" s="59" t="s">
        <v>324</v>
      </c>
      <c r="B1" s="59"/>
      <c r="C1" s="59"/>
      <c r="D1" s="59"/>
      <c r="E1" s="59"/>
      <c r="F1" s="59"/>
      <c r="G1" s="59"/>
      <c r="H1" s="59"/>
    </row>
    <row r="2" spans="1:8" ht="18" customHeight="1" x14ac:dyDescent="0.35">
      <c r="A2" s="61" t="str">
        <f>"Forecast Horizon: "&amp;Controls!$B$7&amp;" months  ·  "&amp;TEXT(Controls!$B$6,"mmm yyyy")&amp;" – "&amp;TEXT(EDATE(Controls!$B$6,Controls!$B$7-1),"mmm yyyy")&amp;"   |   FY columns beyond the selected horizon show — (zero)"</f>
        <v>Forecast Horizon: 36 months  ·  Jan 2026 – Dec 2028   |   FY columns beyond the selected horizon show — (zero)</v>
      </c>
      <c r="B2" s="61"/>
      <c r="C2" s="61"/>
      <c r="D2" s="61"/>
      <c r="E2" s="61"/>
      <c r="F2" s="61"/>
      <c r="G2" s="61"/>
      <c r="H2" s="61"/>
    </row>
    <row r="3" spans="1:8" ht="21.75" customHeight="1" x14ac:dyDescent="0.35">
      <c r="A3" s="1" t="s">
        <v>101</v>
      </c>
      <c r="B3" s="2" t="s">
        <v>102</v>
      </c>
      <c r="C3" s="2" t="str">
        <f>"FY "&amp;(YEAR(Controls!$B$6)+0)</f>
        <v>FY 2026</v>
      </c>
      <c r="D3" s="2" t="str">
        <f>"FY "&amp;(YEAR(Controls!$B$6)+1)</f>
        <v>FY 2027</v>
      </c>
      <c r="E3" s="2" t="str">
        <f>"FY "&amp;(YEAR(Controls!$B$6)+2)</f>
        <v>FY 2028</v>
      </c>
      <c r="F3" s="2" t="str">
        <f>"FY "&amp;(YEAR(Controls!$B$6)+3)</f>
        <v>FY 2029</v>
      </c>
      <c r="G3" s="2" t="str">
        <f>"FY "&amp;(YEAR(Controls!$B$6)+4)</f>
        <v>FY 2030</v>
      </c>
      <c r="H3" s="2" t="str">
        <f>"FY "&amp;(YEAR(Controls!$B$6)+5)</f>
        <v>FY 2031</v>
      </c>
    </row>
    <row r="5" spans="1:8" ht="18" customHeight="1" x14ac:dyDescent="0.35">
      <c r="A5" s="58" t="s">
        <v>325</v>
      </c>
      <c r="B5" s="58"/>
      <c r="C5" s="58"/>
      <c r="D5" s="58"/>
      <c r="E5" s="58"/>
      <c r="F5" s="58"/>
      <c r="G5" s="58"/>
      <c r="H5" s="58"/>
    </row>
    <row r="6" spans="1:8" ht="18" customHeight="1" x14ac:dyDescent="0.35">
      <c r="A6" s="54" t="s">
        <v>326</v>
      </c>
      <c r="B6" s="54"/>
      <c r="C6" s="54"/>
      <c r="D6" s="54"/>
      <c r="E6" s="54"/>
      <c r="F6" s="54"/>
      <c r="G6" s="54"/>
      <c r="H6" s="54"/>
    </row>
    <row r="7" spans="1:8" x14ac:dyDescent="0.35">
      <c r="A7" s="15" t="s">
        <v>327</v>
      </c>
      <c r="B7" s="20" t="s">
        <v>124</v>
      </c>
      <c r="C7" s="29">
        <f>'P&amp;L'!BK6</f>
        <v>1643273.8876206658</v>
      </c>
      <c r="D7" s="29">
        <f>'P&amp;L'!BL6</f>
        <v>9205123.0687628835</v>
      </c>
      <c r="E7" s="29">
        <f>'P&amp;L'!BM6</f>
        <v>26869393.391202237</v>
      </c>
      <c r="F7" s="29">
        <f>'P&amp;L'!BN6</f>
        <v>0</v>
      </c>
      <c r="G7" s="29">
        <f>'P&amp;L'!BO6</f>
        <v>0</v>
      </c>
      <c r="H7" s="29">
        <f>'P&amp;L'!BP6</f>
        <v>0</v>
      </c>
    </row>
    <row r="8" spans="1:8" x14ac:dyDescent="0.35">
      <c r="A8" s="15" t="s">
        <v>328</v>
      </c>
      <c r="B8" s="20" t="s">
        <v>124</v>
      </c>
      <c r="C8" s="29">
        <f>'P&amp;L'!BK7</f>
        <v>92500</v>
      </c>
      <c r="D8" s="29">
        <f>'P&amp;L'!BL7</f>
        <v>152000</v>
      </c>
      <c r="E8" s="29">
        <f>'P&amp;L'!BM7</f>
        <v>215000</v>
      </c>
      <c r="F8" s="29">
        <f>'P&amp;L'!BN7</f>
        <v>0</v>
      </c>
      <c r="G8" s="29">
        <f>'P&amp;L'!BO7</f>
        <v>0</v>
      </c>
      <c r="H8" s="29">
        <f>'P&amp;L'!BP7</f>
        <v>0</v>
      </c>
    </row>
    <row r="9" spans="1:8" x14ac:dyDescent="0.35">
      <c r="A9" s="30" t="s">
        <v>247</v>
      </c>
      <c r="B9" s="31" t="s">
        <v>124</v>
      </c>
      <c r="C9" s="32">
        <f>'P&amp;L'!BK8</f>
        <v>1735773.8876206658</v>
      </c>
      <c r="D9" s="32">
        <f>'P&amp;L'!BL8</f>
        <v>9357123.0687628835</v>
      </c>
      <c r="E9" s="32">
        <f>'P&amp;L'!BM8</f>
        <v>27084393.391202237</v>
      </c>
      <c r="F9" s="32">
        <f>'P&amp;L'!BN8</f>
        <v>0</v>
      </c>
      <c r="G9" s="32">
        <f>'P&amp;L'!BO8</f>
        <v>0</v>
      </c>
      <c r="H9" s="32">
        <f>'P&amp;L'!BP8</f>
        <v>0</v>
      </c>
    </row>
    <row r="10" spans="1:8" ht="6" customHeight="1" x14ac:dyDescent="0.35"/>
    <row r="11" spans="1:8" ht="18" customHeight="1" x14ac:dyDescent="0.35">
      <c r="A11" s="54" t="s">
        <v>329</v>
      </c>
      <c r="B11" s="54"/>
      <c r="C11" s="54"/>
      <c r="D11" s="54"/>
      <c r="E11" s="54"/>
      <c r="F11" s="54"/>
      <c r="G11" s="54"/>
      <c r="H11" s="54"/>
    </row>
    <row r="12" spans="1:8" x14ac:dyDescent="0.35">
      <c r="A12" s="33" t="s">
        <v>253</v>
      </c>
      <c r="B12" s="34" t="s">
        <v>124</v>
      </c>
      <c r="C12" s="35">
        <f>'P&amp;L'!BK15</f>
        <v>200999</v>
      </c>
      <c r="D12" s="35">
        <f>'P&amp;L'!BL15</f>
        <v>255548.79999999996</v>
      </c>
      <c r="E12" s="35">
        <f>'P&amp;L'!BM15</f>
        <v>318068.56</v>
      </c>
      <c r="F12" s="35">
        <f>'P&amp;L'!BN15</f>
        <v>0</v>
      </c>
      <c r="G12" s="35">
        <f>'P&amp;L'!BO15</f>
        <v>0</v>
      </c>
      <c r="H12" s="35">
        <f>'P&amp;L'!BP15</f>
        <v>0</v>
      </c>
    </row>
    <row r="13" spans="1:8" x14ac:dyDescent="0.35">
      <c r="A13" s="33" t="s">
        <v>254</v>
      </c>
      <c r="B13" s="34" t="s">
        <v>124</v>
      </c>
      <c r="C13" s="35">
        <f>'P&amp;L'!BK16</f>
        <v>1534774.8876206658</v>
      </c>
      <c r="D13" s="35">
        <f>'P&amp;L'!BL16</f>
        <v>9101574.2687628847</v>
      </c>
      <c r="E13" s="35">
        <f>'P&amp;L'!BM16</f>
        <v>26766324.831202243</v>
      </c>
      <c r="F13" s="35">
        <f>'P&amp;L'!BN16</f>
        <v>0</v>
      </c>
      <c r="G13" s="35">
        <f>'P&amp;L'!BO16</f>
        <v>0</v>
      </c>
      <c r="H13" s="35">
        <f>'P&amp;L'!BP16</f>
        <v>0</v>
      </c>
    </row>
    <row r="14" spans="1:8" x14ac:dyDescent="0.35">
      <c r="A14" s="33" t="s">
        <v>255</v>
      </c>
      <c r="B14" s="34" t="s">
        <v>110</v>
      </c>
      <c r="C14" s="36">
        <f>'P&amp;L'!BK17</f>
        <v>0.72959054696243364</v>
      </c>
      <c r="D14" s="36">
        <f>'P&amp;L'!BL17</f>
        <v>0.96904014020564377</v>
      </c>
      <c r="E14" s="36">
        <f>'P&amp;L'!BM17</f>
        <v>0.98741477394300936</v>
      </c>
      <c r="F14" s="36">
        <f>'P&amp;L'!BN17</f>
        <v>0</v>
      </c>
      <c r="G14" s="36">
        <f>'P&amp;L'!BO17</f>
        <v>0</v>
      </c>
      <c r="H14" s="36">
        <f>'P&amp;L'!BP17</f>
        <v>0</v>
      </c>
    </row>
    <row r="15" spans="1:8" ht="6" customHeight="1" x14ac:dyDescent="0.35"/>
    <row r="16" spans="1:8" ht="18" customHeight="1" x14ac:dyDescent="0.35">
      <c r="A16" s="54" t="s">
        <v>330</v>
      </c>
      <c r="B16" s="54"/>
      <c r="C16" s="54"/>
      <c r="D16" s="54"/>
      <c r="E16" s="54"/>
      <c r="F16" s="54"/>
      <c r="G16" s="54"/>
      <c r="H16" s="54"/>
    </row>
    <row r="17" spans="1:8" x14ac:dyDescent="0.35">
      <c r="A17" s="15" t="s">
        <v>205</v>
      </c>
      <c r="B17" s="20" t="s">
        <v>124</v>
      </c>
      <c r="C17" s="29">
        <f>'P&amp;L'!BK25</f>
        <v>364170</v>
      </c>
      <c r="D17" s="29">
        <f>'P&amp;L'!BL25</f>
        <v>480321</v>
      </c>
      <c r="E17" s="29">
        <f>'P&amp;L'!BM25</f>
        <v>633732.30000000016</v>
      </c>
      <c r="F17" s="29">
        <f>'P&amp;L'!BN25</f>
        <v>0</v>
      </c>
      <c r="G17" s="29">
        <f>'P&amp;L'!BO25</f>
        <v>0</v>
      </c>
      <c r="H17" s="29">
        <f>'P&amp;L'!BP25</f>
        <v>0</v>
      </c>
    </row>
    <row r="18" spans="1:8" x14ac:dyDescent="0.35">
      <c r="A18" s="15" t="s">
        <v>209</v>
      </c>
      <c r="B18" s="20" t="s">
        <v>124</v>
      </c>
      <c r="C18" s="29">
        <f>'P&amp;L'!BK32</f>
        <v>343560</v>
      </c>
      <c r="D18" s="29">
        <f>'P&amp;L'!BL32</f>
        <v>429450</v>
      </c>
      <c r="E18" s="29">
        <f>'P&amp;L'!BM32</f>
        <v>536812.5</v>
      </c>
      <c r="F18" s="29">
        <f>'P&amp;L'!BN32</f>
        <v>0</v>
      </c>
      <c r="G18" s="29">
        <f>'P&amp;L'!BO32</f>
        <v>0</v>
      </c>
      <c r="H18" s="29">
        <f>'P&amp;L'!BP32</f>
        <v>0</v>
      </c>
    </row>
    <row r="19" spans="1:8" x14ac:dyDescent="0.35">
      <c r="A19" s="15" t="s">
        <v>213</v>
      </c>
      <c r="B19" s="20" t="s">
        <v>124</v>
      </c>
      <c r="C19" s="29">
        <f>'P&amp;L'!BK39</f>
        <v>222780</v>
      </c>
      <c r="D19" s="29">
        <f>'P&amp;L'!BL39</f>
        <v>256197</v>
      </c>
      <c r="E19" s="29">
        <f>'P&amp;L'!BM39</f>
        <v>294626.55</v>
      </c>
      <c r="F19" s="29">
        <f>'P&amp;L'!BN39</f>
        <v>0</v>
      </c>
      <c r="G19" s="29">
        <f>'P&amp;L'!BO39</f>
        <v>0</v>
      </c>
      <c r="H19" s="29">
        <f>'P&amp;L'!BP39</f>
        <v>0</v>
      </c>
    </row>
    <row r="20" spans="1:8" x14ac:dyDescent="0.35">
      <c r="A20" s="30" t="s">
        <v>331</v>
      </c>
      <c r="B20" s="31" t="s">
        <v>124</v>
      </c>
      <c r="C20" s="32">
        <f>'P&amp;L'!BK41</f>
        <v>930510</v>
      </c>
      <c r="D20" s="32">
        <f>'P&amp;L'!BL41</f>
        <v>1165968</v>
      </c>
      <c r="E20" s="32">
        <f>'P&amp;L'!BM41</f>
        <v>1465171.3500000003</v>
      </c>
      <c r="F20" s="32">
        <f>'P&amp;L'!BN41</f>
        <v>0</v>
      </c>
      <c r="G20" s="32">
        <f>'P&amp;L'!BO41</f>
        <v>0</v>
      </c>
      <c r="H20" s="32">
        <f>'P&amp;L'!BP41</f>
        <v>0</v>
      </c>
    </row>
    <row r="21" spans="1:8" ht="6" customHeight="1" x14ac:dyDescent="0.35"/>
    <row r="22" spans="1:8" ht="18" customHeight="1" x14ac:dyDescent="0.35">
      <c r="A22" s="54" t="s">
        <v>332</v>
      </c>
      <c r="B22" s="54"/>
      <c r="C22" s="54"/>
      <c r="D22" s="54"/>
      <c r="E22" s="54"/>
      <c r="F22" s="54"/>
      <c r="G22" s="54"/>
      <c r="H22" s="54"/>
    </row>
    <row r="23" spans="1:8" x14ac:dyDescent="0.35">
      <c r="A23" s="33" t="s">
        <v>333</v>
      </c>
      <c r="B23" s="34" t="s">
        <v>124</v>
      </c>
      <c r="C23" s="35">
        <f>'P&amp;L'!BK42</f>
        <v>604264.88762066583</v>
      </c>
      <c r="D23" s="35">
        <f>'P&amp;L'!BL42</f>
        <v>7935606.2687628847</v>
      </c>
      <c r="E23" s="35">
        <f>'P&amp;L'!BM42</f>
        <v>25301153.481202241</v>
      </c>
      <c r="F23" s="35">
        <f>'P&amp;L'!BN42</f>
        <v>0</v>
      </c>
      <c r="G23" s="35">
        <f>'P&amp;L'!BO42</f>
        <v>0</v>
      </c>
      <c r="H23" s="35">
        <f>'P&amp;L'!BP42</f>
        <v>0</v>
      </c>
    </row>
    <row r="24" spans="1:8" x14ac:dyDescent="0.35">
      <c r="A24" s="15" t="s">
        <v>334</v>
      </c>
      <c r="B24" s="20" t="s">
        <v>110</v>
      </c>
      <c r="C24" s="37">
        <f>'P&amp;L'!BK43</f>
        <v>-0.565173008979858</v>
      </c>
      <c r="D24" s="37">
        <f>'P&amp;L'!BL43</f>
        <v>0.8264802976127229</v>
      </c>
      <c r="E24" s="37">
        <f>'P&amp;L'!BM43</f>
        <v>0.92909531177026261</v>
      </c>
      <c r="F24" s="37">
        <f>'P&amp;L'!BN43</f>
        <v>0</v>
      </c>
      <c r="G24" s="37">
        <f>'P&amp;L'!BO43</f>
        <v>0</v>
      </c>
      <c r="H24" s="37">
        <f>'P&amp;L'!BP43</f>
        <v>0</v>
      </c>
    </row>
    <row r="25" spans="1:8" x14ac:dyDescent="0.35">
      <c r="A25" s="15" t="s">
        <v>335</v>
      </c>
      <c r="B25" s="20" t="s">
        <v>124</v>
      </c>
      <c r="C25" s="29">
        <f>'P&amp;L'!BK45</f>
        <v>138.88888888888889</v>
      </c>
      <c r="D25" s="29">
        <f>'P&amp;L'!BL45</f>
        <v>0</v>
      </c>
      <c r="E25" s="29">
        <f>'P&amp;L'!BM45</f>
        <v>0</v>
      </c>
      <c r="F25" s="29">
        <f>'P&amp;L'!BN45</f>
        <v>0</v>
      </c>
      <c r="G25" s="29">
        <f>'P&amp;L'!BO45</f>
        <v>0</v>
      </c>
      <c r="H25" s="29">
        <f>'P&amp;L'!BP45</f>
        <v>0</v>
      </c>
    </row>
    <row r="26" spans="1:8" x14ac:dyDescent="0.35">
      <c r="A26" s="33" t="s">
        <v>336</v>
      </c>
      <c r="B26" s="34" t="s">
        <v>124</v>
      </c>
      <c r="C26" s="35">
        <f>'P&amp;L'!BK46</f>
        <v>604125.99873177684</v>
      </c>
      <c r="D26" s="35">
        <f>'P&amp;L'!BL46</f>
        <v>7935606.2687628847</v>
      </c>
      <c r="E26" s="35">
        <f>'P&amp;L'!BM46</f>
        <v>25301153.481202241</v>
      </c>
      <c r="F26" s="35">
        <f>'P&amp;L'!BN46</f>
        <v>0</v>
      </c>
      <c r="G26" s="35">
        <f>'P&amp;L'!BO46</f>
        <v>0</v>
      </c>
      <c r="H26" s="35">
        <f>'P&amp;L'!BP46</f>
        <v>0</v>
      </c>
    </row>
    <row r="27" spans="1:8" x14ac:dyDescent="0.35">
      <c r="A27" s="15" t="s">
        <v>337</v>
      </c>
      <c r="B27" s="20" t="s">
        <v>124</v>
      </c>
      <c r="C27" s="29">
        <f>'P&amp;L'!BK47</f>
        <v>0</v>
      </c>
      <c r="D27" s="29">
        <f>'P&amp;L'!BL47</f>
        <v>0</v>
      </c>
      <c r="E27" s="29">
        <f>'P&amp;L'!BM47</f>
        <v>0</v>
      </c>
      <c r="F27" s="29">
        <f>'P&amp;L'!BN47</f>
        <v>0</v>
      </c>
      <c r="G27" s="29">
        <f>'P&amp;L'!BO47</f>
        <v>0</v>
      </c>
      <c r="H27" s="29">
        <f>'P&amp;L'!BP47</f>
        <v>0</v>
      </c>
    </row>
    <row r="28" spans="1:8" x14ac:dyDescent="0.35">
      <c r="A28" s="33" t="s">
        <v>338</v>
      </c>
      <c r="B28" s="34" t="s">
        <v>124</v>
      </c>
      <c r="C28" s="35">
        <f>'P&amp;L'!BK48</f>
        <v>604125.99873177684</v>
      </c>
      <c r="D28" s="35">
        <f>'P&amp;L'!BL48</f>
        <v>7935606.2687628847</v>
      </c>
      <c r="E28" s="35">
        <f>'P&amp;L'!BM48</f>
        <v>25301153.481202241</v>
      </c>
      <c r="F28" s="35">
        <f>'P&amp;L'!BN48</f>
        <v>0</v>
      </c>
      <c r="G28" s="35">
        <f>'P&amp;L'!BO48</f>
        <v>0</v>
      </c>
      <c r="H28" s="35">
        <f>'P&amp;L'!BP48</f>
        <v>0</v>
      </c>
    </row>
    <row r="29" spans="1:8" x14ac:dyDescent="0.35">
      <c r="A29" s="15" t="s">
        <v>339</v>
      </c>
      <c r="B29" s="20" t="s">
        <v>124</v>
      </c>
      <c r="C29" s="29">
        <f>'P&amp;L'!BK49</f>
        <v>211300.5236457797</v>
      </c>
      <c r="D29" s="29">
        <f>'P&amp;L'!BL49</f>
        <v>1983901.5671907212</v>
      </c>
      <c r="E29" s="29">
        <f>'P&amp;L'!BM49</f>
        <v>6325288.3703005603</v>
      </c>
      <c r="F29" s="29">
        <f>'P&amp;L'!BN49</f>
        <v>0</v>
      </c>
      <c r="G29" s="29">
        <f>'P&amp;L'!BO49</f>
        <v>0</v>
      </c>
      <c r="H29" s="29">
        <f>'P&amp;L'!BP49</f>
        <v>0</v>
      </c>
    </row>
    <row r="30" spans="1:8" x14ac:dyDescent="0.35">
      <c r="A30" s="33" t="s">
        <v>340</v>
      </c>
      <c r="B30" s="34" t="s">
        <v>124</v>
      </c>
      <c r="C30" s="35">
        <f>'P&amp;L'!BK50</f>
        <v>392825.47508599726</v>
      </c>
      <c r="D30" s="35">
        <f>'P&amp;L'!BL50</f>
        <v>5951704.701572163</v>
      </c>
      <c r="E30" s="35">
        <f>'P&amp;L'!BM50</f>
        <v>18975865.110901684</v>
      </c>
      <c r="F30" s="35">
        <f>'P&amp;L'!BN50</f>
        <v>0</v>
      </c>
      <c r="G30" s="35">
        <f>'P&amp;L'!BO50</f>
        <v>0</v>
      </c>
      <c r="H30" s="35">
        <f>'P&amp;L'!BP50</f>
        <v>0</v>
      </c>
    </row>
    <row r="31" spans="1:8" x14ac:dyDescent="0.35">
      <c r="A31" s="33" t="s">
        <v>341</v>
      </c>
      <c r="B31" s="34" t="s">
        <v>110</v>
      </c>
      <c r="C31" s="36">
        <f>'P&amp;L'!BK51</f>
        <v>-0.63767853621608406</v>
      </c>
      <c r="D31" s="36">
        <f>'P&amp;L'!BL51</f>
        <v>0.61986022320954215</v>
      </c>
      <c r="E31" s="36">
        <f>'P&amp;L'!BM51</f>
        <v>0.69682148382769682</v>
      </c>
      <c r="F31" s="36">
        <f>'P&amp;L'!BN51</f>
        <v>0</v>
      </c>
      <c r="G31" s="36">
        <f>'P&amp;L'!BO51</f>
        <v>0</v>
      </c>
      <c r="H31" s="36">
        <f>'P&amp;L'!BP51</f>
        <v>0</v>
      </c>
    </row>
    <row r="32" spans="1:8" ht="13.5" customHeight="1" x14ac:dyDescent="0.35"/>
    <row r="33" spans="1:8" ht="18" customHeight="1" x14ac:dyDescent="0.35">
      <c r="A33" s="58" t="s">
        <v>342</v>
      </c>
      <c r="B33" s="58"/>
      <c r="C33" s="58"/>
      <c r="D33" s="58"/>
      <c r="E33" s="58"/>
      <c r="F33" s="58"/>
      <c r="G33" s="58"/>
      <c r="H33" s="58"/>
    </row>
    <row r="34" spans="1:8" x14ac:dyDescent="0.35">
      <c r="A34" s="33" t="s">
        <v>343</v>
      </c>
      <c r="B34" s="34" t="s">
        <v>124</v>
      </c>
      <c r="C34" s="35">
        <f>'Cash Flow'!BK11</f>
        <v>2961150.4931606827</v>
      </c>
      <c r="D34" s="35">
        <f>'Cash Flow'!BL11</f>
        <v>13751133.211555524</v>
      </c>
      <c r="E34" s="35">
        <f>'Cash Flow'!BM11</f>
        <v>36465789.045489579</v>
      </c>
      <c r="F34" s="35">
        <f>'Cash Flow'!BN11</f>
        <v>0</v>
      </c>
      <c r="G34" s="35">
        <f>'Cash Flow'!BO11</f>
        <v>0</v>
      </c>
      <c r="H34" s="35">
        <f>'Cash Flow'!BP11</f>
        <v>0</v>
      </c>
    </row>
    <row r="35" spans="1:8" x14ac:dyDescent="0.35">
      <c r="A35" s="15" t="s">
        <v>344</v>
      </c>
      <c r="B35" s="20" t="s">
        <v>124</v>
      </c>
      <c r="C35" s="29">
        <f>'Cash Flow'!BK15</f>
        <v>-5000</v>
      </c>
      <c r="D35" s="29">
        <f>'Cash Flow'!BL15</f>
        <v>0</v>
      </c>
      <c r="E35" s="29">
        <f>'Cash Flow'!BM15</f>
        <v>0</v>
      </c>
      <c r="F35" s="29">
        <f>'Cash Flow'!BN15</f>
        <v>0</v>
      </c>
      <c r="G35" s="29">
        <f>'Cash Flow'!BO15</f>
        <v>0</v>
      </c>
      <c r="H35" s="29">
        <f>'Cash Flow'!BP15</f>
        <v>0</v>
      </c>
    </row>
    <row r="36" spans="1:8" x14ac:dyDescent="0.35">
      <c r="A36" s="33" t="s">
        <v>345</v>
      </c>
      <c r="B36" s="34" t="s">
        <v>124</v>
      </c>
      <c r="C36" s="35">
        <f>'Cash Flow'!BK18</f>
        <v>2956150.4931606827</v>
      </c>
      <c r="D36" s="35">
        <f>'Cash Flow'!BL18</f>
        <v>13751133.211555524</v>
      </c>
      <c r="E36" s="35">
        <f>'Cash Flow'!BM18</f>
        <v>36465789.045489579</v>
      </c>
      <c r="F36" s="35">
        <f>'Cash Flow'!BN18</f>
        <v>0</v>
      </c>
      <c r="G36" s="35">
        <f>'Cash Flow'!BO18</f>
        <v>0</v>
      </c>
      <c r="H36" s="35">
        <f>'Cash Flow'!BP18</f>
        <v>0</v>
      </c>
    </row>
    <row r="37" spans="1:8" x14ac:dyDescent="0.35">
      <c r="A37" s="15" t="s">
        <v>346</v>
      </c>
      <c r="B37" s="20" t="s">
        <v>124</v>
      </c>
      <c r="C37" s="29">
        <f>'Cash Flow'!BK19</f>
        <v>6275.8052000000025</v>
      </c>
      <c r="D37" s="29">
        <f>'Cash Flow'!BL19</f>
        <v>0</v>
      </c>
      <c r="E37" s="29">
        <f>'Cash Flow'!BM19</f>
        <v>0</v>
      </c>
      <c r="F37" s="29">
        <f>'Cash Flow'!BN19</f>
        <v>0</v>
      </c>
      <c r="G37" s="29">
        <f>'Cash Flow'!BO19</f>
        <v>0</v>
      </c>
      <c r="H37" s="29">
        <f>'Cash Flow'!BP19</f>
        <v>0</v>
      </c>
    </row>
    <row r="38" spans="1:8" x14ac:dyDescent="0.35">
      <c r="A38" s="33" t="s">
        <v>347</v>
      </c>
      <c r="B38" s="34" t="s">
        <v>124</v>
      </c>
      <c r="C38" s="35">
        <f>'Cash Flow'!BK25</f>
        <v>2956150.4931606827</v>
      </c>
      <c r="D38" s="35">
        <f>'Cash Flow'!BL25</f>
        <v>13751133.211555524</v>
      </c>
      <c r="E38" s="35">
        <f>'Cash Flow'!BM25</f>
        <v>36465789.045489579</v>
      </c>
      <c r="F38" s="35">
        <f>'Cash Flow'!BN25</f>
        <v>0</v>
      </c>
      <c r="G38" s="35">
        <f>'Cash Flow'!BO25</f>
        <v>0</v>
      </c>
      <c r="H38" s="35">
        <f>'Cash Flow'!BP25</f>
        <v>0</v>
      </c>
    </row>
    <row r="39" spans="1:8" x14ac:dyDescent="0.35">
      <c r="A39" s="33" t="s">
        <v>299</v>
      </c>
      <c r="B39" s="34" t="s">
        <v>124</v>
      </c>
      <c r="C39" s="35">
        <f>'Cash Flow'!BK27</f>
        <v>3956150.4931606823</v>
      </c>
      <c r="D39" s="35">
        <f>'Cash Flow'!BL27</f>
        <v>17707283.704716206</v>
      </c>
      <c r="E39" s="35">
        <f>'Cash Flow'!BM27</f>
        <v>54173072.750205792</v>
      </c>
      <c r="F39" s="35">
        <f>'Cash Flow'!BN27</f>
        <v>0</v>
      </c>
      <c r="G39" s="35">
        <f>'Cash Flow'!BO27</f>
        <v>0</v>
      </c>
      <c r="H39" s="35">
        <f>'Cash Flow'!BP27</f>
        <v>0</v>
      </c>
    </row>
    <row r="40" spans="1:8" x14ac:dyDescent="0.35">
      <c r="A40" s="33" t="s">
        <v>348</v>
      </c>
      <c r="B40" s="34" t="s">
        <v>301</v>
      </c>
      <c r="C40" s="38">
        <f>'Cash Flow'!BK28</f>
        <v>999</v>
      </c>
      <c r="D40" s="38">
        <f>'Cash Flow'!BL28</f>
        <v>999</v>
      </c>
      <c r="E40" s="38">
        <f>'Cash Flow'!BM28</f>
        <v>999</v>
      </c>
      <c r="F40" s="38">
        <f>'Cash Flow'!BN28</f>
        <v>0</v>
      </c>
      <c r="G40" s="38">
        <f>'Cash Flow'!BO28</f>
        <v>0</v>
      </c>
      <c r="H40" s="38">
        <f>'Cash Flow'!BP28</f>
        <v>0</v>
      </c>
    </row>
    <row r="41" spans="1:8" ht="13.5" customHeight="1" x14ac:dyDescent="0.35"/>
    <row r="42" spans="1:8" ht="18" customHeight="1" x14ac:dyDescent="0.35">
      <c r="A42" s="58" t="s">
        <v>349</v>
      </c>
      <c r="B42" s="58"/>
      <c r="C42" s="58"/>
      <c r="D42" s="58"/>
      <c r="E42" s="58"/>
      <c r="F42" s="58"/>
      <c r="G42" s="58"/>
      <c r="H42" s="58"/>
    </row>
    <row r="43" spans="1:8" ht="18" customHeight="1" x14ac:dyDescent="0.35">
      <c r="A43" s="54" t="s">
        <v>350</v>
      </c>
      <c r="B43" s="54"/>
      <c r="C43" s="54"/>
      <c r="D43" s="54"/>
      <c r="E43" s="54"/>
      <c r="F43" s="54"/>
      <c r="G43" s="54"/>
      <c r="H43" s="54"/>
    </row>
    <row r="44" spans="1:8" x14ac:dyDescent="0.35">
      <c r="A44" s="15" t="s">
        <v>351</v>
      </c>
      <c r="B44" s="20" t="s">
        <v>124</v>
      </c>
      <c r="C44" s="29">
        <f>'Balance Sheet'!BK6</f>
        <v>3956150.4931606823</v>
      </c>
      <c r="D44" s="29">
        <f>'Balance Sheet'!BL6</f>
        <v>17707283.704716206</v>
      </c>
      <c r="E44" s="29">
        <f>'Balance Sheet'!BM6</f>
        <v>54173072.750205792</v>
      </c>
      <c r="F44" s="29">
        <f>'Balance Sheet'!BN6</f>
        <v>0</v>
      </c>
      <c r="G44" s="29">
        <f>'Balance Sheet'!BO6</f>
        <v>0</v>
      </c>
      <c r="H44" s="29">
        <f>'Balance Sheet'!BP6</f>
        <v>0</v>
      </c>
    </row>
    <row r="45" spans="1:8" x14ac:dyDescent="0.35">
      <c r="A45" s="15" t="s">
        <v>352</v>
      </c>
      <c r="B45" s="20" t="s">
        <v>124</v>
      </c>
      <c r="C45" s="29">
        <f>'Balance Sheet'!BK7</f>
        <v>73007.711136818078</v>
      </c>
      <c r="D45" s="29">
        <f>'Balance Sheet'!BL7</f>
        <v>217459.85017710557</v>
      </c>
      <c r="E45" s="29">
        <f>'Balance Sheet'!BM7</f>
        <v>524926.16520893155</v>
      </c>
      <c r="F45" s="29">
        <f>'Balance Sheet'!BN7</f>
        <v>0</v>
      </c>
      <c r="G45" s="29">
        <f>'Balance Sheet'!BO7</f>
        <v>0</v>
      </c>
      <c r="H45" s="29">
        <f>'Balance Sheet'!BP7</f>
        <v>0</v>
      </c>
    </row>
    <row r="46" spans="1:8" x14ac:dyDescent="0.35">
      <c r="A46" s="33" t="s">
        <v>307</v>
      </c>
      <c r="B46" s="34" t="s">
        <v>124</v>
      </c>
      <c r="C46" s="35">
        <f>'Balance Sheet'!BK9</f>
        <v>4029158.2042975002</v>
      </c>
      <c r="D46" s="35">
        <f>'Balance Sheet'!BL9</f>
        <v>17924743.554893311</v>
      </c>
      <c r="E46" s="35">
        <f>'Balance Sheet'!BM9</f>
        <v>54697998.915414721</v>
      </c>
      <c r="F46" s="35">
        <f>'Balance Sheet'!BN9</f>
        <v>0</v>
      </c>
      <c r="G46" s="35">
        <f>'Balance Sheet'!BO9</f>
        <v>0</v>
      </c>
      <c r="H46" s="35">
        <f>'Balance Sheet'!BP9</f>
        <v>0</v>
      </c>
    </row>
    <row r="47" spans="1:8" x14ac:dyDescent="0.35">
      <c r="A47" s="15" t="s">
        <v>353</v>
      </c>
      <c r="B47" s="20" t="s">
        <v>124</v>
      </c>
      <c r="C47" s="29">
        <f>'Balance Sheet'!BK13</f>
        <v>4861.1111111111113</v>
      </c>
      <c r="D47" s="29">
        <f>'Balance Sheet'!BL13</f>
        <v>4861.1111111111113</v>
      </c>
      <c r="E47" s="29">
        <f>'Balance Sheet'!BM13</f>
        <v>4861.1111111111113</v>
      </c>
      <c r="F47" s="29">
        <f>'Balance Sheet'!BN13</f>
        <v>0</v>
      </c>
      <c r="G47" s="29">
        <f>'Balance Sheet'!BO13</f>
        <v>0</v>
      </c>
      <c r="H47" s="29">
        <f>'Balance Sheet'!BP13</f>
        <v>0</v>
      </c>
    </row>
    <row r="48" spans="1:8" x14ac:dyDescent="0.35">
      <c r="A48" s="33" t="s">
        <v>354</v>
      </c>
      <c r="B48" s="34" t="s">
        <v>124</v>
      </c>
      <c r="C48" s="35">
        <f>'Balance Sheet'!BK14</f>
        <v>4034019.3154086112</v>
      </c>
      <c r="D48" s="35">
        <f>'Balance Sheet'!BL14</f>
        <v>17929604.666004423</v>
      </c>
      <c r="E48" s="35">
        <f>'Balance Sheet'!BM14</f>
        <v>54702860.026525833</v>
      </c>
      <c r="F48" s="35">
        <f>'Balance Sheet'!BN14</f>
        <v>0</v>
      </c>
      <c r="G48" s="35">
        <f>'Balance Sheet'!BO14</f>
        <v>0</v>
      </c>
      <c r="H48" s="35">
        <f>'Balance Sheet'!BP14</f>
        <v>0</v>
      </c>
    </row>
    <row r="49" spans="1:8" ht="6" customHeight="1" x14ac:dyDescent="0.35"/>
    <row r="50" spans="1:8" ht="18" customHeight="1" x14ac:dyDescent="0.35">
      <c r="A50" s="54" t="s">
        <v>355</v>
      </c>
      <c r="B50" s="54"/>
      <c r="C50" s="54"/>
      <c r="D50" s="54"/>
      <c r="E50" s="54"/>
      <c r="F50" s="54"/>
      <c r="G50" s="54"/>
      <c r="H50" s="54"/>
    </row>
    <row r="51" spans="1:8" x14ac:dyDescent="0.35">
      <c r="A51" s="15" t="s">
        <v>356</v>
      </c>
      <c r="B51" s="20" t="s">
        <v>124</v>
      </c>
      <c r="C51" s="29">
        <f>'Balance Sheet'!BK17</f>
        <v>38771.25</v>
      </c>
      <c r="D51" s="29">
        <f>'Balance Sheet'!BL17</f>
        <v>48582</v>
      </c>
      <c r="E51" s="29">
        <f>'Balance Sheet'!BM17</f>
        <v>61048.806249999994</v>
      </c>
      <c r="F51" s="29">
        <f>'Balance Sheet'!BN17</f>
        <v>0</v>
      </c>
      <c r="G51" s="29">
        <f>'Balance Sheet'!BO17</f>
        <v>0</v>
      </c>
      <c r="H51" s="29">
        <f>'Balance Sheet'!BP17</f>
        <v>0</v>
      </c>
    </row>
    <row r="52" spans="1:8" x14ac:dyDescent="0.35">
      <c r="A52" s="15" t="s">
        <v>357</v>
      </c>
      <c r="B52" s="20" t="s">
        <v>124</v>
      </c>
      <c r="C52" s="29">
        <f>'Balance Sheet'!BK18</f>
        <v>2602422.5903226146</v>
      </c>
      <c r="D52" s="29">
        <f>'Balance Sheet'!BL18</f>
        <v>10536492.489346262</v>
      </c>
      <c r="E52" s="29">
        <f>'Balance Sheet'!BM18</f>
        <v>28321415.932715982</v>
      </c>
      <c r="F52" s="29">
        <f>'Balance Sheet'!BN18</f>
        <v>0</v>
      </c>
      <c r="G52" s="29">
        <f>'Balance Sheet'!BO18</f>
        <v>0</v>
      </c>
      <c r="H52" s="29">
        <f>'Balance Sheet'!BP18</f>
        <v>0</v>
      </c>
    </row>
    <row r="53" spans="1:8" x14ac:dyDescent="0.35">
      <c r="A53" s="33" t="s">
        <v>315</v>
      </c>
      <c r="B53" s="34" t="s">
        <v>124</v>
      </c>
      <c r="C53" s="35">
        <f>'Balance Sheet'!BK19</f>
        <v>2641193.8403226146</v>
      </c>
      <c r="D53" s="35">
        <f>'Balance Sheet'!BL19</f>
        <v>10585074.489346262</v>
      </c>
      <c r="E53" s="35">
        <f>'Balance Sheet'!BM19</f>
        <v>28382464.738965981</v>
      </c>
      <c r="F53" s="35">
        <f>'Balance Sheet'!BN19</f>
        <v>0</v>
      </c>
      <c r="G53" s="35">
        <f>'Balance Sheet'!BO19</f>
        <v>0</v>
      </c>
      <c r="H53" s="35">
        <f>'Balance Sheet'!BP19</f>
        <v>0</v>
      </c>
    </row>
    <row r="54" spans="1:8" x14ac:dyDescent="0.35">
      <c r="A54" s="15" t="s">
        <v>358</v>
      </c>
      <c r="B54" s="20" t="s">
        <v>124</v>
      </c>
      <c r="C54" s="29">
        <f>'Balance Sheet'!BK21</f>
        <v>0</v>
      </c>
      <c r="D54" s="29">
        <f>'Balance Sheet'!BL21</f>
        <v>0</v>
      </c>
      <c r="E54" s="29">
        <f>'Balance Sheet'!BM21</f>
        <v>0</v>
      </c>
      <c r="F54" s="29">
        <f>'Balance Sheet'!BN21</f>
        <v>0</v>
      </c>
      <c r="G54" s="29">
        <f>'Balance Sheet'!BO21</f>
        <v>0</v>
      </c>
      <c r="H54" s="29">
        <f>'Balance Sheet'!BP21</f>
        <v>0</v>
      </c>
    </row>
    <row r="55" spans="1:8" x14ac:dyDescent="0.35">
      <c r="A55" s="33" t="s">
        <v>359</v>
      </c>
      <c r="B55" s="34" t="s">
        <v>124</v>
      </c>
      <c r="C55" s="35">
        <f>'Balance Sheet'!BK22</f>
        <v>2641193.8403226146</v>
      </c>
      <c r="D55" s="35">
        <f>'Balance Sheet'!BL22</f>
        <v>10585074.489346262</v>
      </c>
      <c r="E55" s="35">
        <f>'Balance Sheet'!BM22</f>
        <v>28382464.738965981</v>
      </c>
      <c r="F55" s="35">
        <f>'Balance Sheet'!BN22</f>
        <v>0</v>
      </c>
      <c r="G55" s="35">
        <f>'Balance Sheet'!BO22</f>
        <v>0</v>
      </c>
      <c r="H55" s="35">
        <f>'Balance Sheet'!BP22</f>
        <v>0</v>
      </c>
    </row>
    <row r="56" spans="1:8" ht="6" customHeight="1" x14ac:dyDescent="0.35"/>
    <row r="57" spans="1:8" ht="18" customHeight="1" x14ac:dyDescent="0.35">
      <c r="A57" s="54" t="s">
        <v>360</v>
      </c>
      <c r="B57" s="54"/>
      <c r="C57" s="54"/>
      <c r="D57" s="54"/>
      <c r="E57" s="54"/>
      <c r="F57" s="54"/>
      <c r="G57" s="54"/>
      <c r="H57" s="54"/>
    </row>
    <row r="58" spans="1:8" x14ac:dyDescent="0.35">
      <c r="A58" s="33" t="s">
        <v>361</v>
      </c>
      <c r="B58" s="34" t="s">
        <v>124</v>
      </c>
      <c r="C58" s="35">
        <f>'Balance Sheet'!BK27</f>
        <v>1392825.4750859973</v>
      </c>
      <c r="D58" s="35">
        <f>'Balance Sheet'!BL27</f>
        <v>7344530.176658161</v>
      </c>
      <c r="E58" s="35">
        <f>'Balance Sheet'!BM27</f>
        <v>26320395.287559845</v>
      </c>
      <c r="F58" s="35">
        <f>'Balance Sheet'!BN27</f>
        <v>0</v>
      </c>
      <c r="G58" s="35">
        <f>'Balance Sheet'!BO27</f>
        <v>0</v>
      </c>
      <c r="H58" s="35">
        <f>'Balance Sheet'!BP27</f>
        <v>0</v>
      </c>
    </row>
    <row r="59" spans="1:8" x14ac:dyDescent="0.35">
      <c r="A59" s="33" t="s">
        <v>362</v>
      </c>
      <c r="B59" s="34" t="s">
        <v>124</v>
      </c>
      <c r="C59" s="35">
        <f>'Balance Sheet'!BK28</f>
        <v>4034019.3154086117</v>
      </c>
      <c r="D59" s="35">
        <f>'Balance Sheet'!BL28</f>
        <v>17929604.666004423</v>
      </c>
      <c r="E59" s="35">
        <f>'Balance Sheet'!BM28</f>
        <v>54702860.026525825</v>
      </c>
      <c r="F59" s="35">
        <f>'Balance Sheet'!BN28</f>
        <v>0</v>
      </c>
      <c r="G59" s="35">
        <f>'Balance Sheet'!BO28</f>
        <v>0</v>
      </c>
      <c r="H59" s="35">
        <f>'Balance Sheet'!BP28</f>
        <v>0</v>
      </c>
    </row>
    <row r="60" spans="1:8" x14ac:dyDescent="0.35">
      <c r="A60" s="25" t="s">
        <v>363</v>
      </c>
      <c r="B60" s="20" t="s">
        <v>124</v>
      </c>
      <c r="C60" s="29">
        <f>'Balance Sheet'!BK29</f>
        <v>0</v>
      </c>
      <c r="D60" s="29">
        <f>'Balance Sheet'!BL29</f>
        <v>0</v>
      </c>
      <c r="E60" s="29">
        <f>'Balance Sheet'!BM29</f>
        <v>0</v>
      </c>
      <c r="F60" s="29">
        <f>'Balance Sheet'!BN29</f>
        <v>0</v>
      </c>
      <c r="G60" s="29">
        <f>'Balance Sheet'!BO29</f>
        <v>0</v>
      </c>
      <c r="H60" s="29">
        <f>'Balance Sheet'!BP29</f>
        <v>0</v>
      </c>
    </row>
    <row r="61" spans="1:8" ht="9.75" customHeight="1" x14ac:dyDescent="0.35"/>
    <row r="62" spans="1:8" x14ac:dyDescent="0.35">
      <c r="A62" s="60" t="s">
        <v>364</v>
      </c>
      <c r="B62" s="60"/>
      <c r="C62" s="60"/>
      <c r="D62" s="60"/>
      <c r="E62" s="60"/>
      <c r="F62" s="60"/>
      <c r="G62" s="60"/>
      <c r="H62" s="60"/>
    </row>
  </sheetData>
  <mergeCells count="13">
    <mergeCell ref="A50:H50"/>
    <mergeCell ref="A57:H57"/>
    <mergeCell ref="A62:H62"/>
    <mergeCell ref="A16:H16"/>
    <mergeCell ref="A22:H22"/>
    <mergeCell ref="A33:H33"/>
    <mergeCell ref="A42:H42"/>
    <mergeCell ref="A43:H43"/>
    <mergeCell ref="A1:H1"/>
    <mergeCell ref="A2:H2"/>
    <mergeCell ref="A5:H5"/>
    <mergeCell ref="A6:H6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BP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M1"/>
    </sheetView>
  </sheetViews>
  <sheetFormatPr defaultColWidth="8.6328125" defaultRowHeight="14.5" x14ac:dyDescent="0.35"/>
  <cols>
    <col min="1" max="1" width="36" customWidth="1"/>
    <col min="2" max="2" width="12" customWidth="1"/>
    <col min="3" max="3" width="13.1796875" bestFit="1" customWidth="1"/>
    <col min="4" max="4" width="16.36328125" bestFit="1" customWidth="1"/>
    <col min="5" max="5" width="11.7265625" bestFit="1" customWidth="1"/>
    <col min="6" max="62" width="9" customWidth="1"/>
    <col min="63" max="68" width="12" customWidth="1"/>
  </cols>
  <sheetData>
    <row r="1" spans="1:68" ht="27.75" customHeight="1" x14ac:dyDescent="0.35">
      <c r="A1" s="57" t="s">
        <v>365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</row>
    <row r="3" spans="1:68" ht="19.5" customHeight="1" x14ac:dyDescent="0.35">
      <c r="A3" s="19" t="s">
        <v>101</v>
      </c>
      <c r="B3" s="19" t="s">
        <v>102</v>
      </c>
      <c r="C3" s="19" t="str">
        <f>TEXT(EDATE(Controls!$B$6,0),"mmm-yy")</f>
        <v>Jan-26</v>
      </c>
      <c r="D3" s="19" t="str">
        <f>TEXT(EDATE(Controls!$B$6,1),"mmm-yy")</f>
        <v>Feb-26</v>
      </c>
      <c r="E3" s="19" t="str">
        <f>TEXT(EDATE(Controls!$B$6,2),"mmm-yy")</f>
        <v>Mar-26</v>
      </c>
      <c r="F3" s="19" t="str">
        <f>TEXT(EDATE(Controls!$B$6,3),"mmm-yy")</f>
        <v>Apr-26</v>
      </c>
      <c r="G3" s="19" t="str">
        <f>TEXT(EDATE(Controls!$B$6,4),"mmm-yy")</f>
        <v>May-26</v>
      </c>
      <c r="H3" s="19" t="str">
        <f>TEXT(EDATE(Controls!$B$6,5),"mmm-yy")</f>
        <v>Jun-26</v>
      </c>
      <c r="I3" s="19" t="str">
        <f>TEXT(EDATE(Controls!$B$6,6),"mmm-yy")</f>
        <v>Jul-26</v>
      </c>
      <c r="J3" s="19" t="str">
        <f>TEXT(EDATE(Controls!$B$6,7),"mmm-yy")</f>
        <v>Aug-26</v>
      </c>
      <c r="K3" s="19" t="str">
        <f>TEXT(EDATE(Controls!$B$6,8),"mmm-yy")</f>
        <v>Sep-26</v>
      </c>
      <c r="L3" s="19" t="str">
        <f>TEXT(EDATE(Controls!$B$6,9),"mmm-yy")</f>
        <v>Oct-26</v>
      </c>
      <c r="M3" s="19" t="str">
        <f>TEXT(EDATE(Controls!$B$6,10),"mmm-yy")</f>
        <v>Nov-26</v>
      </c>
      <c r="N3" s="19" t="str">
        <f>TEXT(EDATE(Controls!$B$6,11),"mmm-yy")</f>
        <v>Dec-26</v>
      </c>
      <c r="O3" s="19" t="str">
        <f>TEXT(EDATE(Controls!$B$6,12),"mmm-yy")</f>
        <v>Jan-27</v>
      </c>
      <c r="P3" s="19" t="str">
        <f>TEXT(EDATE(Controls!$B$6,13),"mmm-yy")</f>
        <v>Feb-27</v>
      </c>
      <c r="Q3" s="19" t="str">
        <f>TEXT(EDATE(Controls!$B$6,14),"mmm-yy")</f>
        <v>Mar-27</v>
      </c>
      <c r="R3" s="19" t="str">
        <f>TEXT(EDATE(Controls!$B$6,15),"mmm-yy")</f>
        <v>Apr-27</v>
      </c>
      <c r="S3" s="19" t="str">
        <f>TEXT(EDATE(Controls!$B$6,16),"mmm-yy")</f>
        <v>May-27</v>
      </c>
      <c r="T3" s="19" t="str">
        <f>TEXT(EDATE(Controls!$B$6,17),"mmm-yy")</f>
        <v>Jun-27</v>
      </c>
      <c r="U3" s="19" t="str">
        <f>TEXT(EDATE(Controls!$B$6,18),"mmm-yy")</f>
        <v>Jul-27</v>
      </c>
      <c r="V3" s="19" t="str">
        <f>TEXT(EDATE(Controls!$B$6,19),"mmm-yy")</f>
        <v>Aug-27</v>
      </c>
      <c r="W3" s="19" t="str">
        <f>TEXT(EDATE(Controls!$B$6,20),"mmm-yy")</f>
        <v>Sep-27</v>
      </c>
      <c r="X3" s="19" t="str">
        <f>TEXT(EDATE(Controls!$B$6,21),"mmm-yy")</f>
        <v>Oct-27</v>
      </c>
      <c r="Y3" s="19" t="str">
        <f>TEXT(EDATE(Controls!$B$6,22),"mmm-yy")</f>
        <v>Nov-27</v>
      </c>
      <c r="Z3" s="19" t="str">
        <f>TEXT(EDATE(Controls!$B$6,23),"mmm-yy")</f>
        <v>Dec-27</v>
      </c>
      <c r="AA3" s="19" t="str">
        <f>TEXT(EDATE(Controls!$B$6,24),"mmm-yy")</f>
        <v>Jan-28</v>
      </c>
      <c r="AB3" s="19" t="str">
        <f>TEXT(EDATE(Controls!$B$6,25),"mmm-yy")</f>
        <v>Feb-28</v>
      </c>
      <c r="AC3" s="19" t="str">
        <f>TEXT(EDATE(Controls!$B$6,26),"mmm-yy")</f>
        <v>Mar-28</v>
      </c>
      <c r="AD3" s="19" t="str">
        <f>TEXT(EDATE(Controls!$B$6,27),"mmm-yy")</f>
        <v>Apr-28</v>
      </c>
      <c r="AE3" s="19" t="str">
        <f>TEXT(EDATE(Controls!$B$6,28),"mmm-yy")</f>
        <v>May-28</v>
      </c>
      <c r="AF3" s="19" t="str">
        <f>TEXT(EDATE(Controls!$B$6,29),"mmm-yy")</f>
        <v>Jun-28</v>
      </c>
      <c r="AG3" s="19" t="str">
        <f>TEXT(EDATE(Controls!$B$6,30),"mmm-yy")</f>
        <v>Jul-28</v>
      </c>
      <c r="AH3" s="19" t="str">
        <f>TEXT(EDATE(Controls!$B$6,31),"mmm-yy")</f>
        <v>Aug-28</v>
      </c>
      <c r="AI3" s="19" t="str">
        <f>TEXT(EDATE(Controls!$B$6,32),"mmm-yy")</f>
        <v>Sep-28</v>
      </c>
      <c r="AJ3" s="19" t="str">
        <f>TEXT(EDATE(Controls!$B$6,33),"mmm-yy")</f>
        <v>Oct-28</v>
      </c>
      <c r="AK3" s="19" t="str">
        <f>TEXT(EDATE(Controls!$B$6,34),"mmm-yy")</f>
        <v>Nov-28</v>
      </c>
      <c r="AL3" s="19" t="str">
        <f>TEXT(EDATE(Controls!$B$6,35),"mmm-yy")</f>
        <v>Dec-28</v>
      </c>
      <c r="AM3" s="19" t="str">
        <f>TEXT(EDATE(Controls!$B$6,36),"mmm-yy")</f>
        <v>Jan-29</v>
      </c>
      <c r="AN3" s="19" t="str">
        <f>TEXT(EDATE(Controls!$B$6,37),"mmm-yy")</f>
        <v>Feb-29</v>
      </c>
      <c r="AO3" s="19" t="str">
        <f>TEXT(EDATE(Controls!$B$6,38),"mmm-yy")</f>
        <v>Mar-29</v>
      </c>
      <c r="AP3" s="19" t="str">
        <f>TEXT(EDATE(Controls!$B$6,39),"mmm-yy")</f>
        <v>Apr-29</v>
      </c>
      <c r="AQ3" s="19" t="str">
        <f>TEXT(EDATE(Controls!$B$6,40),"mmm-yy")</f>
        <v>May-29</v>
      </c>
      <c r="AR3" s="19" t="str">
        <f>TEXT(EDATE(Controls!$B$6,41),"mmm-yy")</f>
        <v>Jun-29</v>
      </c>
      <c r="AS3" s="19" t="str">
        <f>TEXT(EDATE(Controls!$B$6,42),"mmm-yy")</f>
        <v>Jul-29</v>
      </c>
      <c r="AT3" s="19" t="str">
        <f>TEXT(EDATE(Controls!$B$6,43),"mmm-yy")</f>
        <v>Aug-29</v>
      </c>
      <c r="AU3" s="19" t="str">
        <f>TEXT(EDATE(Controls!$B$6,44),"mmm-yy")</f>
        <v>Sep-29</v>
      </c>
      <c r="AV3" s="19" t="str">
        <f>TEXT(EDATE(Controls!$B$6,45),"mmm-yy")</f>
        <v>Oct-29</v>
      </c>
      <c r="AW3" s="19" t="str">
        <f>TEXT(EDATE(Controls!$B$6,46),"mmm-yy")</f>
        <v>Nov-29</v>
      </c>
      <c r="AX3" s="19" t="str">
        <f>TEXT(EDATE(Controls!$B$6,47),"mmm-yy")</f>
        <v>Dec-29</v>
      </c>
      <c r="AY3" s="19" t="str">
        <f>TEXT(EDATE(Controls!$B$6,48),"mmm-yy")</f>
        <v>Jan-30</v>
      </c>
      <c r="AZ3" s="19" t="str">
        <f>TEXT(EDATE(Controls!$B$6,49),"mmm-yy")</f>
        <v>Feb-30</v>
      </c>
      <c r="BA3" s="19" t="str">
        <f>TEXT(EDATE(Controls!$B$6,50),"mmm-yy")</f>
        <v>Mar-30</v>
      </c>
      <c r="BB3" s="19" t="str">
        <f>TEXT(EDATE(Controls!$B$6,51),"mmm-yy")</f>
        <v>Apr-30</v>
      </c>
      <c r="BC3" s="19" t="str">
        <f>TEXT(EDATE(Controls!$B$6,52),"mmm-yy")</f>
        <v>May-30</v>
      </c>
      <c r="BD3" s="19" t="str">
        <f>TEXT(EDATE(Controls!$B$6,53),"mmm-yy")</f>
        <v>Jun-30</v>
      </c>
      <c r="BE3" s="19" t="str">
        <f>TEXT(EDATE(Controls!$B$6,54),"mmm-yy")</f>
        <v>Jul-30</v>
      </c>
      <c r="BF3" s="19" t="str">
        <f>TEXT(EDATE(Controls!$B$6,55),"mmm-yy")</f>
        <v>Aug-30</v>
      </c>
      <c r="BG3" s="19" t="str">
        <f>TEXT(EDATE(Controls!$B$6,56),"mmm-yy")</f>
        <v>Sep-30</v>
      </c>
      <c r="BH3" s="19" t="str">
        <f>TEXT(EDATE(Controls!$B$6,57),"mmm-yy")</f>
        <v>Oct-30</v>
      </c>
      <c r="BI3" s="19" t="str">
        <f>TEXT(EDATE(Controls!$B$6,58),"mmm-yy")</f>
        <v>Nov-30</v>
      </c>
      <c r="BJ3" s="19" t="str">
        <f>TEXT(EDATE(Controls!$B$6,59),"mmm-yy")</f>
        <v>Dec-30</v>
      </c>
      <c r="BK3" s="19" t="str">
        <f>"FY "&amp;(YEAR(Controls!$B$6)+0)</f>
        <v>FY 2026</v>
      </c>
      <c r="BL3" s="19" t="str">
        <f>"FY "&amp;(YEAR(Controls!$B$6)+1)</f>
        <v>FY 2027</v>
      </c>
      <c r="BM3" s="19" t="str">
        <f>"FY "&amp;(YEAR(Controls!$B$6)+2)</f>
        <v>FY 2028</v>
      </c>
      <c r="BN3" s="19" t="str">
        <f>"FY "&amp;(YEAR(Controls!$B$6)+3)</f>
        <v>FY 2029</v>
      </c>
      <c r="BO3" s="19" t="str">
        <f>"FY "&amp;(YEAR(Controls!$B$6)+4)</f>
        <v>FY 2030</v>
      </c>
      <c r="BP3" s="19" t="str">
        <f>"FY "&amp;(YEAR(Controls!$B$6)+5)</f>
        <v>FY 2031</v>
      </c>
    </row>
    <row r="4" spans="1:68" ht="18" customHeight="1" x14ac:dyDescent="0.35">
      <c r="A4" s="58" t="s">
        <v>366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</row>
    <row r="5" spans="1:68" x14ac:dyDescent="0.35">
      <c r="A5" s="6" t="s">
        <v>367</v>
      </c>
      <c r="B5" s="20" t="s">
        <v>124</v>
      </c>
      <c r="C5" s="29">
        <f>Revenue!C91</f>
        <v>8691.094000000001</v>
      </c>
      <c r="D5" s="29">
        <f>Revenue!D91</f>
        <v>17113.948472</v>
      </c>
      <c r="E5" s="29">
        <f>Revenue!E91</f>
        <v>25672.387442325999</v>
      </c>
      <c r="F5" s="29">
        <f>Revenue!F91</f>
        <v>34516.692780786609</v>
      </c>
      <c r="G5" s="29">
        <f>Revenue!G91</f>
        <v>44197.353320900656</v>
      </c>
      <c r="H5" s="29">
        <f>Revenue!H91</f>
        <v>54225.612594992352</v>
      </c>
      <c r="I5" s="29">
        <f>Revenue!I91</f>
        <v>64954.367612401824</v>
      </c>
      <c r="J5" s="29">
        <f>Revenue!J91</f>
        <v>75643.836556424547</v>
      </c>
      <c r="K5" s="29">
        <f>Revenue!K91</f>
        <v>87188.537839944154</v>
      </c>
      <c r="L5" s="29">
        <f>Revenue!L91</f>
        <v>99747.939330885289</v>
      </c>
      <c r="M5" s="29">
        <f>Revenue!M91</f>
        <v>112783.84232655606</v>
      </c>
      <c r="N5" s="29">
        <f>Revenue!N91</f>
        <v>126850.01410286123</v>
      </c>
      <c r="O5" s="29">
        <f>Revenue!O91</f>
        <v>141809.44467221817</v>
      </c>
      <c r="P5" s="29">
        <f>Revenue!P91</f>
        <v>158069.08754577028</v>
      </c>
      <c r="Q5" s="29">
        <f>Revenue!Q91</f>
        <v>174796.91835185973</v>
      </c>
      <c r="R5" s="29">
        <f>Revenue!R91</f>
        <v>192693.97046718904</v>
      </c>
      <c r="S5" s="29">
        <f>Revenue!S91</f>
        <v>211274.24074963006</v>
      </c>
      <c r="T5" s="29">
        <f>Revenue!T91</f>
        <v>231191.40606876579</v>
      </c>
      <c r="U5" s="29">
        <f>Revenue!U91</f>
        <v>252261.87529848964</v>
      </c>
      <c r="V5" s="29">
        <f>Revenue!V91</f>
        <v>275293.79774399247</v>
      </c>
      <c r="W5" s="29">
        <f>Revenue!W91</f>
        <v>299712.9037648908</v>
      </c>
      <c r="X5" s="29">
        <f>Revenue!X91</f>
        <v>325583.24559664616</v>
      </c>
      <c r="Y5" s="29">
        <f>Revenue!Y91</f>
        <v>353067.30677332624</v>
      </c>
      <c r="Z5" s="29">
        <f>Revenue!Z91</f>
        <v>382134.49586400087</v>
      </c>
      <c r="AA5" s="29">
        <f>Revenue!AA91</f>
        <v>413298.62970083259</v>
      </c>
      <c r="AB5" s="29">
        <f>Revenue!AB91</f>
        <v>446781.7566226616</v>
      </c>
      <c r="AC5" s="29">
        <f>Revenue!AC91</f>
        <v>482709.67458511365</v>
      </c>
      <c r="AD5" s="29">
        <f>Revenue!AD91</f>
        <v>520559.45628167753</v>
      </c>
      <c r="AE5" s="29">
        <f>Revenue!AE91</f>
        <v>560998.327960241</v>
      </c>
      <c r="AF5" s="29">
        <f>Revenue!AF91</f>
        <v>604054.41870240611</v>
      </c>
      <c r="AG5" s="29">
        <f>Revenue!AG91</f>
        <v>650003.20819278318</v>
      </c>
      <c r="AH5" s="29">
        <f>Revenue!AH91</f>
        <v>698975.21347899432</v>
      </c>
      <c r="AI5" s="29">
        <f>Revenue!AI91</f>
        <v>751450.27078544395</v>
      </c>
      <c r="AJ5" s="29">
        <f>Revenue!AJ91</f>
        <v>807017.38480938133</v>
      </c>
      <c r="AK5" s="29">
        <f>Revenue!AK91</f>
        <v>866505.81603555742</v>
      </c>
      <c r="AL5" s="29">
        <f>Revenue!AL91</f>
        <v>930007.08550400147</v>
      </c>
      <c r="AM5" s="29">
        <f>Revenue!AM91</f>
        <v>925397.48739458993</v>
      </c>
      <c r="AN5" s="29">
        <f>Revenue!AN91</f>
        <v>921080.3724003071</v>
      </c>
      <c r="AO5" s="29">
        <f>Revenue!AO91</f>
        <v>917107.01148318395</v>
      </c>
      <c r="AP5" s="29">
        <f>Revenue!AP91</f>
        <v>913281.94150789687</v>
      </c>
      <c r="AQ5" s="29">
        <f>Revenue!AQ91</f>
        <v>909706.28469385614</v>
      </c>
      <c r="AR5" s="29">
        <f>Revenue!AR91</f>
        <v>906431.1220902279</v>
      </c>
      <c r="AS5" s="29">
        <f>Revenue!AS91</f>
        <v>903458.80004341993</v>
      </c>
      <c r="AT5" s="29">
        <f>Revenue!AT91</f>
        <v>900642.68665100564</v>
      </c>
      <c r="AU5" s="29">
        <f>Revenue!AU91</f>
        <v>898083.97999966249</v>
      </c>
      <c r="AV5" s="29">
        <f>Revenue!AV91</f>
        <v>895833.83787006768</v>
      </c>
      <c r="AW5" s="29">
        <f>Revenue!AW91</f>
        <v>894195.68421550537</v>
      </c>
      <c r="AX5" s="29">
        <f>Revenue!AX91</f>
        <v>892828.01362706453</v>
      </c>
      <c r="AY5" s="29">
        <f>Revenue!AY91</f>
        <v>891782.15209700842</v>
      </c>
      <c r="AZ5" s="29">
        <f>Revenue!AZ91</f>
        <v>890862.69413397065</v>
      </c>
      <c r="BA5" s="29">
        <f>Revenue!BA91</f>
        <v>890219.82226209529</v>
      </c>
      <c r="BB5" s="29">
        <f>Revenue!BB91</f>
        <v>889706.92554384749</v>
      </c>
      <c r="BC5" s="29">
        <f>Revenue!BC91</f>
        <v>889474.22532103537</v>
      </c>
      <c r="BD5" s="29">
        <f>Revenue!BD91</f>
        <v>889375.14996315306</v>
      </c>
      <c r="BE5" s="29">
        <f>Revenue!BE91</f>
        <v>889559.96061512642</v>
      </c>
      <c r="BF5" s="29">
        <f>Revenue!BF91</f>
        <v>890031.1259524757</v>
      </c>
      <c r="BG5" s="29">
        <f>Revenue!BG91</f>
        <v>890593.13993597811</v>
      </c>
      <c r="BH5" s="29">
        <f>Revenue!BH91</f>
        <v>891445.08510984806</v>
      </c>
      <c r="BI5" s="29">
        <f>Revenue!BI91</f>
        <v>892440.4961428052</v>
      </c>
      <c r="BJ5" s="29">
        <f>Revenue!BJ91</f>
        <v>893729.74181267223</v>
      </c>
      <c r="BK5" s="24">
        <f>IFERROR(LOOKUP(2,1/((YEAR(EDATE(Controls!$B$6,COLUMN($C$1:$BJ$1)-COLUMN($C$1)))=YEAR(Controls!$B$6)+0)*(COLUMN($C$1:$BJ$1)-COLUMN($C$1)&lt;Controls!$B$7)),$C$5:$BJ$5),0)</f>
        <v>126850.01410286123</v>
      </c>
      <c r="BL5" s="24">
        <f>IFERROR(LOOKUP(2,1/((YEAR(EDATE(Controls!$B$6,COLUMN($C$1:$BJ$1)-COLUMN($C$1)))=YEAR(Controls!$B$6)+1)*(COLUMN($C$1:$BJ$1)-COLUMN($C$1)&lt;Controls!$B$7)),$C$5:$BJ$5),0)</f>
        <v>382134.49586400087</v>
      </c>
      <c r="BM5" s="24">
        <f>IFERROR(LOOKUP(2,1/((YEAR(EDATE(Controls!$B$6,COLUMN($C$1:$BJ$1)-COLUMN($C$1)))=YEAR(Controls!$B$6)+2)*(COLUMN($C$1:$BJ$1)-COLUMN($C$1)&lt;Controls!$B$7)),$C$5:$BJ$5),0)</f>
        <v>930007.08550400147</v>
      </c>
      <c r="BN5" s="24">
        <f>IFERROR(LOOKUP(2,1/((YEAR(EDATE(Controls!$B$6,COLUMN($C$1:$BJ$1)-COLUMN($C$1)))=YEAR(Controls!$B$6)+3)*(COLUMN($C$1:$BJ$1)-COLUMN($C$1)&lt;Controls!$B$7)),$C$5:$BJ$5),0)</f>
        <v>0</v>
      </c>
      <c r="BO5" s="24">
        <f>IFERROR(LOOKUP(2,1/((YEAR(EDATE(Controls!$B$6,COLUMN($C$1:$BJ$1)-COLUMN($C$1)))=YEAR(Controls!$B$6)+4)*(COLUMN($C$1:$BJ$1)-COLUMN($C$1)&lt;Controls!$B$7)),$C$5:$BJ$5),0)</f>
        <v>0</v>
      </c>
      <c r="BP5" s="24">
        <f>IFERROR(LOOKUP(2,1/((YEAR(EDATE(Controls!$B$6,COLUMN($C$1:$BJ$1)-COLUMN($C$1)))=YEAR(Controls!$B$6)+5)*(COLUMN($C$1:$BJ$1)-COLUMN($C$1)&lt;Controls!$B$7)),$C$5:$BJ$5),0)</f>
        <v>0</v>
      </c>
    </row>
    <row r="6" spans="1:68" x14ac:dyDescent="0.35">
      <c r="A6" s="6" t="s">
        <v>368</v>
      </c>
      <c r="B6" s="20" t="s">
        <v>124</v>
      </c>
      <c r="C6" s="29">
        <f>Revenue!C92</f>
        <v>104293.12800000001</v>
      </c>
      <c r="D6" s="29">
        <f>Revenue!D92</f>
        <v>205367.38166399999</v>
      </c>
      <c r="E6" s="29">
        <f>Revenue!E92</f>
        <v>308068.64930791198</v>
      </c>
      <c r="F6" s="29">
        <f>Revenue!F92</f>
        <v>414200.31336943933</v>
      </c>
      <c r="G6" s="29">
        <f>Revenue!G92</f>
        <v>530368.23985080793</v>
      </c>
      <c r="H6" s="29">
        <f>Revenue!H92</f>
        <v>650707.35113990819</v>
      </c>
      <c r="I6" s="29">
        <f>Revenue!I92</f>
        <v>779452.41134882183</v>
      </c>
      <c r="J6" s="29">
        <f>Revenue!J92</f>
        <v>907726.0386770945</v>
      </c>
      <c r="K6" s="29">
        <f>Revenue!K92</f>
        <v>1046262.4540793299</v>
      </c>
      <c r="L6" s="29">
        <f>Revenue!L92</f>
        <v>1196975.2719706234</v>
      </c>
      <c r="M6" s="29">
        <f>Revenue!M92</f>
        <v>1353406.1079186727</v>
      </c>
      <c r="N6" s="29">
        <f>Revenue!N92</f>
        <v>1522200.1692343347</v>
      </c>
      <c r="O6" s="29">
        <f>Revenue!O92</f>
        <v>1701713.3360666181</v>
      </c>
      <c r="P6" s="29">
        <f>Revenue!P92</f>
        <v>1896829.0505492433</v>
      </c>
      <c r="Q6" s="29">
        <f>Revenue!Q92</f>
        <v>2097563.0202223165</v>
      </c>
      <c r="R6" s="29">
        <f>Revenue!R92</f>
        <v>2312327.6456062682</v>
      </c>
      <c r="S6" s="29">
        <f>Revenue!S92</f>
        <v>2535290.8889955608</v>
      </c>
      <c r="T6" s="29">
        <f>Revenue!T92</f>
        <v>2774296.8728251895</v>
      </c>
      <c r="U6" s="29">
        <f>Revenue!U92</f>
        <v>3027142.5035818759</v>
      </c>
      <c r="V6" s="29">
        <f>Revenue!V92</f>
        <v>3303525.5729279099</v>
      </c>
      <c r="W6" s="29">
        <f>Revenue!W92</f>
        <v>3596554.8451786898</v>
      </c>
      <c r="X6" s="29">
        <f>Revenue!X92</f>
        <v>3906998.9471597541</v>
      </c>
      <c r="Y6" s="29">
        <f>Revenue!Y92</f>
        <v>4236807.6812799145</v>
      </c>
      <c r="Z6" s="29">
        <f>Revenue!Z92</f>
        <v>4585613.9503680104</v>
      </c>
      <c r="AA6" s="29">
        <f>Revenue!AA92</f>
        <v>4959583.5564099913</v>
      </c>
      <c r="AB6" s="29">
        <f>Revenue!AB92</f>
        <v>5361381.0794719392</v>
      </c>
      <c r="AC6" s="29">
        <f>Revenue!AC92</f>
        <v>5792516.0950213633</v>
      </c>
      <c r="AD6" s="29">
        <f>Revenue!AD92</f>
        <v>6246713.4753801301</v>
      </c>
      <c r="AE6" s="29">
        <f>Revenue!AE92</f>
        <v>6731979.9355228916</v>
      </c>
      <c r="AF6" s="29">
        <f>Revenue!AF92</f>
        <v>7248653.0244288733</v>
      </c>
      <c r="AG6" s="29">
        <f>Revenue!AG92</f>
        <v>7800038.4983133981</v>
      </c>
      <c r="AH6" s="29">
        <f>Revenue!AH92</f>
        <v>8387702.5617479319</v>
      </c>
      <c r="AI6" s="29">
        <f>Revenue!AI92</f>
        <v>9017403.2494253274</v>
      </c>
      <c r="AJ6" s="29">
        <f>Revenue!AJ92</f>
        <v>9684208.6177125759</v>
      </c>
      <c r="AK6" s="29">
        <f>Revenue!AK92</f>
        <v>10398069.792426689</v>
      </c>
      <c r="AL6" s="29">
        <f>Revenue!AL92</f>
        <v>11160085.026048018</v>
      </c>
      <c r="AM6" s="29">
        <f>Revenue!AM92</f>
        <v>11104769.848735079</v>
      </c>
      <c r="AN6" s="29">
        <f>Revenue!AN92</f>
        <v>11052964.468803685</v>
      </c>
      <c r="AO6" s="29">
        <f>Revenue!AO92</f>
        <v>11005284.137798207</v>
      </c>
      <c r="AP6" s="29">
        <f>Revenue!AP92</f>
        <v>10959383.298094762</v>
      </c>
      <c r="AQ6" s="29">
        <f>Revenue!AQ92</f>
        <v>10916475.416326273</v>
      </c>
      <c r="AR6" s="29">
        <f>Revenue!AR92</f>
        <v>10877173.465082735</v>
      </c>
      <c r="AS6" s="29">
        <f>Revenue!AS92</f>
        <v>10841505.600521039</v>
      </c>
      <c r="AT6" s="29">
        <f>Revenue!AT92</f>
        <v>10807712.239812069</v>
      </c>
      <c r="AU6" s="29">
        <f>Revenue!AU92</f>
        <v>10777007.75999595</v>
      </c>
      <c r="AV6" s="29">
        <f>Revenue!AV92</f>
        <v>10750006.054440811</v>
      </c>
      <c r="AW6" s="29">
        <f>Revenue!AW92</f>
        <v>10730348.210586064</v>
      </c>
      <c r="AX6" s="29">
        <f>Revenue!AX92</f>
        <v>10713936.163524775</v>
      </c>
      <c r="AY6" s="29">
        <f>Revenue!AY92</f>
        <v>10701385.825164102</v>
      </c>
      <c r="AZ6" s="29">
        <f>Revenue!AZ92</f>
        <v>10690352.329607647</v>
      </c>
      <c r="BA6" s="29">
        <f>Revenue!BA92</f>
        <v>10682637.867145143</v>
      </c>
      <c r="BB6" s="29">
        <f>Revenue!BB92</f>
        <v>10676483.10652617</v>
      </c>
      <c r="BC6" s="29">
        <f>Revenue!BC92</f>
        <v>10673690.703852424</v>
      </c>
      <c r="BD6" s="29">
        <f>Revenue!BD92</f>
        <v>10672501.799557837</v>
      </c>
      <c r="BE6" s="29">
        <f>Revenue!BE92</f>
        <v>10674719.527381517</v>
      </c>
      <c r="BF6" s="29">
        <f>Revenue!BF92</f>
        <v>10680373.511429708</v>
      </c>
      <c r="BG6" s="29">
        <f>Revenue!BG92</f>
        <v>10687117.679231737</v>
      </c>
      <c r="BH6" s="29">
        <f>Revenue!BH92</f>
        <v>10697341.021318177</v>
      </c>
      <c r="BI6" s="29">
        <f>Revenue!BI92</f>
        <v>10709285.953713663</v>
      </c>
      <c r="BJ6" s="29">
        <f>Revenue!BJ92</f>
        <v>10724756.901752066</v>
      </c>
      <c r="BK6" s="24">
        <f>IFERROR(LOOKUP(2,1/((YEAR(EDATE(Controls!$B$6,COLUMN($C$1:$BJ$1)-COLUMN($C$1)))=YEAR(Controls!$B$6)+0)*(COLUMN($C$1:$BJ$1)-COLUMN($C$1)&lt;Controls!$B$7)),$C$6:$BJ$6),0)</f>
        <v>1522200.1692343347</v>
      </c>
      <c r="BL6" s="24">
        <f>IFERROR(LOOKUP(2,1/((YEAR(EDATE(Controls!$B$6,COLUMN($C$1:$BJ$1)-COLUMN($C$1)))=YEAR(Controls!$B$6)+1)*(COLUMN($C$1:$BJ$1)-COLUMN($C$1)&lt;Controls!$B$7)),$C$6:$BJ$6),0)</f>
        <v>4585613.9503680104</v>
      </c>
      <c r="BM6" s="24">
        <f>IFERROR(LOOKUP(2,1/((YEAR(EDATE(Controls!$B$6,COLUMN($C$1:$BJ$1)-COLUMN($C$1)))=YEAR(Controls!$B$6)+2)*(COLUMN($C$1:$BJ$1)-COLUMN($C$1)&lt;Controls!$B$7)),$C$6:$BJ$6),0)</f>
        <v>11160085.026048018</v>
      </c>
      <c r="BN6" s="24">
        <f>IFERROR(LOOKUP(2,1/((YEAR(EDATE(Controls!$B$6,COLUMN($C$1:$BJ$1)-COLUMN($C$1)))=YEAR(Controls!$B$6)+3)*(COLUMN($C$1:$BJ$1)-COLUMN($C$1)&lt;Controls!$B$7)),$C$6:$BJ$6),0)</f>
        <v>0</v>
      </c>
      <c r="BO6" s="24">
        <f>IFERROR(LOOKUP(2,1/((YEAR(EDATE(Controls!$B$6,COLUMN($C$1:$BJ$1)-COLUMN($C$1)))=YEAR(Controls!$B$6)+4)*(COLUMN($C$1:$BJ$1)-COLUMN($C$1)&lt;Controls!$B$7)),$C$6:$BJ$6),0)</f>
        <v>0</v>
      </c>
      <c r="BP6" s="24">
        <f>IFERROR(LOOKUP(2,1/((YEAR(EDATE(Controls!$B$6,COLUMN($C$1:$BJ$1)-COLUMN($C$1)))=YEAR(Controls!$B$6)+5)*(COLUMN($C$1:$BJ$1)-COLUMN($C$1)&lt;Controls!$B$7)),$C$6:$BJ$6),0)</f>
        <v>0</v>
      </c>
    </row>
    <row r="7" spans="1:68" x14ac:dyDescent="0.35">
      <c r="A7" s="6" t="s">
        <v>369</v>
      </c>
      <c r="B7" s="20" t="s">
        <v>116</v>
      </c>
      <c r="C7" s="39">
        <f>Revenue!C66</f>
        <v>70</v>
      </c>
      <c r="D7" s="39">
        <f>Revenue!D66</f>
        <v>135</v>
      </c>
      <c r="E7" s="39">
        <f>Revenue!E66</f>
        <v>201</v>
      </c>
      <c r="F7" s="39">
        <f>Revenue!F66</f>
        <v>269</v>
      </c>
      <c r="G7" s="39">
        <f>Revenue!G66</f>
        <v>341</v>
      </c>
      <c r="H7" s="39">
        <f>Revenue!H66</f>
        <v>416</v>
      </c>
      <c r="I7" s="39">
        <f>Revenue!I66</f>
        <v>494</v>
      </c>
      <c r="J7" s="39">
        <f>Revenue!J66</f>
        <v>574</v>
      </c>
      <c r="K7" s="39">
        <f>Revenue!K66</f>
        <v>658</v>
      </c>
      <c r="L7" s="39">
        <f>Revenue!L66</f>
        <v>747</v>
      </c>
      <c r="M7" s="39">
        <f>Revenue!M66</f>
        <v>841</v>
      </c>
      <c r="N7" s="39">
        <f>Revenue!N66</f>
        <v>940</v>
      </c>
      <c r="O7" s="39">
        <f>Revenue!O66</f>
        <v>1043</v>
      </c>
      <c r="P7" s="39">
        <f>Revenue!P66</f>
        <v>1154</v>
      </c>
      <c r="Q7" s="39">
        <f>Revenue!Q66</f>
        <v>1269</v>
      </c>
      <c r="R7" s="39">
        <f>Revenue!R66</f>
        <v>1391</v>
      </c>
      <c r="S7" s="39">
        <f>Revenue!S66</f>
        <v>1519</v>
      </c>
      <c r="T7" s="39">
        <f>Revenue!T66</f>
        <v>1655</v>
      </c>
      <c r="U7" s="39">
        <f>Revenue!U66</f>
        <v>1797</v>
      </c>
      <c r="V7" s="39">
        <f>Revenue!V66</f>
        <v>1950</v>
      </c>
      <c r="W7" s="39">
        <f>Revenue!W66</f>
        <v>2111</v>
      </c>
      <c r="X7" s="39">
        <f>Revenue!X66</f>
        <v>2281</v>
      </c>
      <c r="Y7" s="39">
        <f>Revenue!Y66</f>
        <v>2463</v>
      </c>
      <c r="Z7" s="39">
        <f>Revenue!Z66</f>
        <v>2654</v>
      </c>
      <c r="AA7" s="39">
        <f>Revenue!AA66</f>
        <v>2857</v>
      </c>
      <c r="AB7" s="39">
        <f>Revenue!AB66</f>
        <v>3074</v>
      </c>
      <c r="AC7" s="39">
        <f>Revenue!AC66</f>
        <v>3305</v>
      </c>
      <c r="AD7" s="39">
        <f>Revenue!AD66</f>
        <v>3550</v>
      </c>
      <c r="AE7" s="39">
        <f>Revenue!AE66</f>
        <v>3811</v>
      </c>
      <c r="AF7" s="39">
        <f>Revenue!AF66</f>
        <v>4088</v>
      </c>
      <c r="AG7" s="39">
        <f>Revenue!AG66</f>
        <v>4384</v>
      </c>
      <c r="AH7" s="39">
        <f>Revenue!AH66</f>
        <v>4699</v>
      </c>
      <c r="AI7" s="39">
        <f>Revenue!AI66</f>
        <v>5035</v>
      </c>
      <c r="AJ7" s="39">
        <f>Revenue!AJ66</f>
        <v>5392</v>
      </c>
      <c r="AK7" s="39">
        <f>Revenue!AK66</f>
        <v>5773</v>
      </c>
      <c r="AL7" s="39">
        <f>Revenue!AL66</f>
        <v>6179</v>
      </c>
      <c r="AM7" s="39">
        <f>Revenue!AM66</f>
        <v>6027</v>
      </c>
      <c r="AN7" s="39">
        <f>Revenue!AN66</f>
        <v>5879</v>
      </c>
      <c r="AO7" s="39">
        <f>Revenue!AO66</f>
        <v>5736</v>
      </c>
      <c r="AP7" s="39">
        <f>Revenue!AP66</f>
        <v>5596</v>
      </c>
      <c r="AQ7" s="39">
        <f>Revenue!AQ66</f>
        <v>5459</v>
      </c>
      <c r="AR7" s="39">
        <f>Revenue!AR66</f>
        <v>5326</v>
      </c>
      <c r="AS7" s="39">
        <f>Revenue!AS66</f>
        <v>5197</v>
      </c>
      <c r="AT7" s="39">
        <f>Revenue!AT66</f>
        <v>5071</v>
      </c>
      <c r="AU7" s="39">
        <f>Revenue!AU66</f>
        <v>4948</v>
      </c>
      <c r="AV7" s="39">
        <f>Revenue!AV66</f>
        <v>4829</v>
      </c>
      <c r="AW7" s="39">
        <f>Revenue!AW66</f>
        <v>4713</v>
      </c>
      <c r="AX7" s="39">
        <f>Revenue!AX66</f>
        <v>4600</v>
      </c>
      <c r="AY7" s="39">
        <f>Revenue!AY66</f>
        <v>4491</v>
      </c>
      <c r="AZ7" s="39">
        <f>Revenue!AZ66</f>
        <v>4384</v>
      </c>
      <c r="BA7" s="39">
        <f>Revenue!BA66</f>
        <v>4280</v>
      </c>
      <c r="BB7" s="39">
        <f>Revenue!BB66</f>
        <v>4178</v>
      </c>
      <c r="BC7" s="39">
        <f>Revenue!BC66</f>
        <v>4079</v>
      </c>
      <c r="BD7" s="39">
        <f>Revenue!BD66</f>
        <v>3982</v>
      </c>
      <c r="BE7" s="39">
        <f>Revenue!BE66</f>
        <v>3888</v>
      </c>
      <c r="BF7" s="39">
        <f>Revenue!BF66</f>
        <v>3797</v>
      </c>
      <c r="BG7" s="39">
        <f>Revenue!BG66</f>
        <v>3707</v>
      </c>
      <c r="BH7" s="39">
        <f>Revenue!BH66</f>
        <v>3620</v>
      </c>
      <c r="BI7" s="39">
        <f>Revenue!BI66</f>
        <v>3535</v>
      </c>
      <c r="BJ7" s="39">
        <f>Revenue!BJ66</f>
        <v>3453</v>
      </c>
      <c r="BK7" s="23">
        <f>IFERROR(LOOKUP(2,1/((YEAR(EDATE(Controls!$B$6,COLUMN($C$1:$BJ$1)-COLUMN($C$1)))=YEAR(Controls!$B$6)+0)*(COLUMN($C$1:$BJ$1)-COLUMN($C$1)&lt;Controls!$B$7)),$C$7:$BJ$7),0)</f>
        <v>940</v>
      </c>
      <c r="BL7" s="23">
        <f>IFERROR(LOOKUP(2,1/((YEAR(EDATE(Controls!$B$6,COLUMN($C$1:$BJ$1)-COLUMN($C$1)))=YEAR(Controls!$B$6)+1)*(COLUMN($C$1:$BJ$1)-COLUMN($C$1)&lt;Controls!$B$7)),$C$7:$BJ$7),0)</f>
        <v>2654</v>
      </c>
      <c r="BM7" s="23">
        <f>IFERROR(LOOKUP(2,1/((YEAR(EDATE(Controls!$B$6,COLUMN($C$1:$BJ$1)-COLUMN($C$1)))=YEAR(Controls!$B$6)+2)*(COLUMN($C$1:$BJ$1)-COLUMN($C$1)&lt;Controls!$B$7)),$C$7:$BJ$7),0)</f>
        <v>6179</v>
      </c>
      <c r="BN7" s="23">
        <f>IFERROR(LOOKUP(2,1/((YEAR(EDATE(Controls!$B$6,COLUMN($C$1:$BJ$1)-COLUMN($C$1)))=YEAR(Controls!$B$6)+3)*(COLUMN($C$1:$BJ$1)-COLUMN($C$1)&lt;Controls!$B$7)),$C$7:$BJ$7),0)</f>
        <v>0</v>
      </c>
      <c r="BO7" s="23">
        <f>IFERROR(LOOKUP(2,1/((YEAR(EDATE(Controls!$B$6,COLUMN($C$1:$BJ$1)-COLUMN($C$1)))=YEAR(Controls!$B$6)+4)*(COLUMN($C$1:$BJ$1)-COLUMN($C$1)&lt;Controls!$B$7)),$C$7:$BJ$7),0)</f>
        <v>0</v>
      </c>
      <c r="BP7" s="23">
        <f>IFERROR(LOOKUP(2,1/((YEAR(EDATE(Controls!$B$6,COLUMN($C$1:$BJ$1)-COLUMN($C$1)))=YEAR(Controls!$B$6)+5)*(COLUMN($C$1:$BJ$1)-COLUMN($C$1)&lt;Controls!$B$7)),$C$7:$BJ$7),0)</f>
        <v>0</v>
      </c>
    </row>
    <row r="8" spans="1:68" x14ac:dyDescent="0.35">
      <c r="A8" s="6" t="s">
        <v>370</v>
      </c>
      <c r="B8" s="20" t="s">
        <v>110</v>
      </c>
      <c r="C8" s="37">
        <f>Revenue!C93</f>
        <v>1.0106468330134355</v>
      </c>
      <c r="D8" s="37">
        <f>Revenue!D93</f>
        <v>1.0044706077278649</v>
      </c>
      <c r="E8" s="37">
        <f>Revenue!E93</f>
        <v>0.99576012339918429</v>
      </c>
      <c r="F8" s="37">
        <f>Revenue!F93</f>
        <v>0.99677884802396466</v>
      </c>
      <c r="G8" s="37">
        <f>Revenue!G93</f>
        <v>0.99448558235011697</v>
      </c>
      <c r="H8" s="37">
        <f>Revenue!H93</f>
        <v>0.99686088158037522</v>
      </c>
      <c r="I8" s="37">
        <f>Revenue!I93</f>
        <v>0.99569861968489648</v>
      </c>
      <c r="J8" s="37">
        <f>Revenue!J93</f>
        <v>0.9889533054919577</v>
      </c>
      <c r="K8" s="37">
        <f>Revenue!K93</f>
        <v>0.98934085375377601</v>
      </c>
      <c r="L8" s="37">
        <f>Revenue!L93</f>
        <v>0.99100112780307004</v>
      </c>
      <c r="M8" s="37">
        <f>Revenue!M93</f>
        <v>0.99146752293793317</v>
      </c>
      <c r="N8" s="37">
        <f>Revenue!N93</f>
        <v>0.99278417717549938</v>
      </c>
      <c r="O8" s="37">
        <f>Revenue!O93</f>
        <v>0.99279803445743209</v>
      </c>
      <c r="P8" s="37">
        <f>Revenue!P93</f>
        <v>0.99432790158436146</v>
      </c>
      <c r="Q8" s="37">
        <f>Revenue!Q93</f>
        <v>0.99443807003911511</v>
      </c>
      <c r="R8" s="37">
        <f>Revenue!R93</f>
        <v>0.99456541972462897</v>
      </c>
      <c r="S8" s="37">
        <f>Revenue!S93</f>
        <v>0.99218071165430921</v>
      </c>
      <c r="T8" s="37">
        <f>Revenue!T93</f>
        <v>0.99332699208449649</v>
      </c>
      <c r="U8" s="37">
        <f>Revenue!U93</f>
        <v>0.99352687543311602</v>
      </c>
      <c r="V8" s="37">
        <f>Revenue!V93</f>
        <v>0.9939702440065612</v>
      </c>
      <c r="W8" s="37">
        <f>Revenue!W93</f>
        <v>0.99429012207327883</v>
      </c>
      <c r="X8" s="37">
        <f>Revenue!X93</f>
        <v>0.99463600616440018</v>
      </c>
      <c r="Y8" s="37">
        <f>Revenue!Y93</f>
        <v>0.99361779559782959</v>
      </c>
      <c r="Z8" s="37">
        <f>Revenue!Z93</f>
        <v>0.99396485919696465</v>
      </c>
      <c r="AA8" s="37">
        <f>Revenue!AA93</f>
        <v>0.99406788398403312</v>
      </c>
      <c r="AB8" s="37">
        <f>Revenue!AB93</f>
        <v>0.99460469278646024</v>
      </c>
      <c r="AC8" s="37">
        <f>Revenue!AC93</f>
        <v>0.99503990034351475</v>
      </c>
      <c r="AD8" s="37">
        <f>Revenue!AD93</f>
        <v>0.99415131195399653</v>
      </c>
      <c r="AE8" s="37">
        <f>Revenue!AE93</f>
        <v>0.99469200244449818</v>
      </c>
      <c r="AF8" s="37">
        <f>Revenue!AF93</f>
        <v>0.99496627865522791</v>
      </c>
      <c r="AG8" s="37">
        <f>Revenue!AG93</f>
        <v>0.99436439763666384</v>
      </c>
      <c r="AH8" s="37">
        <f>Revenue!AH93</f>
        <v>0.9949138793899488</v>
      </c>
      <c r="AI8" s="37">
        <f>Revenue!AI93</f>
        <v>0.99517301525363489</v>
      </c>
      <c r="AJ8" s="37">
        <f>Revenue!AJ93</f>
        <v>0.99467445001799049</v>
      </c>
      <c r="AK8" s="37">
        <f>Revenue!AK93</f>
        <v>0.99504525076028139</v>
      </c>
      <c r="AL8" s="37">
        <f>Revenue!AL93</f>
        <v>0.99480588537518688</v>
      </c>
      <c r="AM8" s="37">
        <f>Revenue!AM93</f>
        <v>0.99504348065594206</v>
      </c>
      <c r="AN8" s="37">
        <f>Revenue!AN93</f>
        <v>0.99533485334346716</v>
      </c>
      <c r="AO8" s="37">
        <f>Revenue!AO93</f>
        <v>0.99568619521576729</v>
      </c>
      <c r="AP8" s="37">
        <f>Revenue!AP93</f>
        <v>0.9958291999435257</v>
      </c>
      <c r="AQ8" s="37">
        <f>Revenue!AQ93</f>
        <v>0.9960848269832896</v>
      </c>
      <c r="AR8" s="37">
        <f>Revenue!AR93</f>
        <v>0.99639975818708293</v>
      </c>
      <c r="AS8" s="37">
        <f>Revenue!AS93</f>
        <v>0.99672085172897207</v>
      </c>
      <c r="AT8" s="37">
        <f>Revenue!AT93</f>
        <v>0.99688296423447442</v>
      </c>
      <c r="AU8" s="37">
        <f>Revenue!AU93</f>
        <v>0.99715902134190693</v>
      </c>
      <c r="AV8" s="37">
        <f>Revenue!AV93</f>
        <v>0.99749450810870099</v>
      </c>
      <c r="AW8" s="37">
        <f>Revenue!AW93</f>
        <v>0.99817136439224341</v>
      </c>
      <c r="AX8" s="37">
        <f>Revenue!AX93</f>
        <v>0.99847050191296705</v>
      </c>
      <c r="AY8" s="37">
        <f>Revenue!AY93</f>
        <v>0.99882859686961734</v>
      </c>
      <c r="AZ8" s="37">
        <f>Revenue!AZ93</f>
        <v>0.9989689657268026</v>
      </c>
      <c r="BA8" s="37">
        <f>Revenue!BA93</f>
        <v>0.99927837154242927</v>
      </c>
      <c r="BB8" s="37">
        <f>Revenue!BB93</f>
        <v>0.99942385385561916</v>
      </c>
      <c r="BC8" s="37">
        <f>Revenue!BC93</f>
        <v>0.99973845294879549</v>
      </c>
      <c r="BD8" s="37">
        <f>Revenue!BD93</f>
        <v>0.99988861357073444</v>
      </c>
      <c r="BE8" s="37">
        <f>Revenue!BE93</f>
        <v>1.0002077983087125</v>
      </c>
      <c r="BF8" s="37">
        <f>Revenue!BF93</f>
        <v>1.0005296611338301</v>
      </c>
      <c r="BG8" s="37">
        <f>Revenue!BG93</f>
        <v>1.0006314543021186</v>
      </c>
      <c r="BH8" s="37">
        <f>Revenue!BH93</f>
        <v>1.0009566042401037</v>
      </c>
      <c r="BI8" s="37">
        <f>Revenue!BI93</f>
        <v>1.0011166263066384</v>
      </c>
      <c r="BJ8" s="37">
        <f>Revenue!BJ93</f>
        <v>1.0014446292782984</v>
      </c>
      <c r="BK8" s="27">
        <f>IFERROR(SUMPRODUCT((YEAR(EDATE(Controls!$B$6,COLUMN($C$1:$BJ$1)-COLUMN($C$1)))=YEAR(Controls!$B$6)+0)*(COLUMN($C$1:$BJ$1)-COLUMN($C$1)&lt;Controls!$B$7)*$C$8:$BJ$8)/SUMPRODUCT((YEAR(EDATE(Controls!$B$6,COLUMN($C$1:$BJ$1)-COLUMN($C$1)))=YEAR(Controls!$B$6)+0)*(COLUMN($C$1:$BJ$1)-COLUMN($C$1)&lt;Controls!$B$7)*1),0)</f>
        <v>0.99568737357850612</v>
      </c>
      <c r="BL8" s="27">
        <f>IFERROR(SUMPRODUCT((YEAR(EDATE(Controls!$B$6,COLUMN($C$1:$BJ$1)-COLUMN($C$1)))=YEAR(Controls!$B$6)+1)*(COLUMN($C$1:$BJ$1)-COLUMN($C$1)&lt;Controls!$B$7)*$C$8:$BJ$8)/SUMPRODUCT((YEAR(EDATE(Controls!$B$6,COLUMN($C$1:$BJ$1)-COLUMN($C$1)))=YEAR(Controls!$B$6)+1)*(COLUMN($C$1:$BJ$1)-COLUMN($C$1)&lt;Controls!$B$7)*1),0)</f>
        <v>0.99380358600137442</v>
      </c>
      <c r="BM8" s="27">
        <f>IFERROR(SUMPRODUCT((YEAR(EDATE(Controls!$B$6,COLUMN($C$1:$BJ$1)-COLUMN($C$1)))=YEAR(Controls!$B$6)+2)*(COLUMN($C$1:$BJ$1)-COLUMN($C$1)&lt;Controls!$B$7)*$C$8:$BJ$8)/SUMPRODUCT((YEAR(EDATE(Controls!$B$6,COLUMN($C$1:$BJ$1)-COLUMN($C$1)))=YEAR(Controls!$B$6)+2)*(COLUMN($C$1:$BJ$1)-COLUMN($C$1)&lt;Controls!$B$7)*1),0)</f>
        <v>0.99470824571678629</v>
      </c>
      <c r="BN8" s="27">
        <f>IFERROR(SUMPRODUCT((YEAR(EDATE(Controls!$B$6,COLUMN($C$1:$BJ$1)-COLUMN($C$1)))=YEAR(Controls!$B$6)+3)*(COLUMN($C$1:$BJ$1)-COLUMN($C$1)&lt;Controls!$B$7)*$C$8:$BJ$8)/SUMPRODUCT((YEAR(EDATE(Controls!$B$6,COLUMN($C$1:$BJ$1)-COLUMN($C$1)))=YEAR(Controls!$B$6)+3)*(COLUMN($C$1:$BJ$1)-COLUMN($C$1)&lt;Controls!$B$7)*1),0)</f>
        <v>0</v>
      </c>
      <c r="BO8" s="27">
        <f>IFERROR(SUMPRODUCT((YEAR(EDATE(Controls!$B$6,COLUMN($C$1:$BJ$1)-COLUMN($C$1)))=YEAR(Controls!$B$6)+4)*(COLUMN($C$1:$BJ$1)-COLUMN($C$1)&lt;Controls!$B$7)*$C$8:$BJ$8)/SUMPRODUCT((YEAR(EDATE(Controls!$B$6,COLUMN($C$1:$BJ$1)-COLUMN($C$1)))=YEAR(Controls!$B$6)+4)*(COLUMN($C$1:$BJ$1)-COLUMN($C$1)&lt;Controls!$B$7)*1),0)</f>
        <v>0</v>
      </c>
      <c r="BP8" s="27">
        <f>IFERROR(SUMPRODUCT((YEAR(EDATE(Controls!$B$6,COLUMN($C$1:$BJ$1)-COLUMN($C$1)))=YEAR(Controls!$B$6)+5)*(COLUMN($C$1:$BJ$1)-COLUMN($C$1)&lt;Controls!$B$7)*$C$8:$BJ$8)/SUMPRODUCT((YEAR(EDATE(Controls!$B$6,COLUMN($C$1:$BJ$1)-COLUMN($C$1)))=YEAR(Controls!$B$6)+5)*(COLUMN($C$1:$BJ$1)-COLUMN($C$1)&lt;Controls!$B$7)*1),0)</f>
        <v>0</v>
      </c>
    </row>
    <row r="9" spans="1:68" x14ac:dyDescent="0.35">
      <c r="A9" s="6" t="s">
        <v>255</v>
      </c>
      <c r="B9" s="20" t="s">
        <v>110</v>
      </c>
      <c r="C9" s="37">
        <f>'P&amp;L'!C17</f>
        <v>-0.15418095880431459</v>
      </c>
      <c r="D9" s="37">
        <f>'P&amp;L'!D17</f>
        <v>0.39070406389404733</v>
      </c>
      <c r="E9" s="37">
        <f>'P&amp;L'!E17</f>
        <v>0.61647093732672809</v>
      </c>
      <c r="F9" s="37">
        <f>'P&amp;L'!F17</f>
        <v>0.73355150289882043</v>
      </c>
      <c r="G9" s="37">
        <f>'P&amp;L'!G17</f>
        <v>0.80376420288057249</v>
      </c>
      <c r="H9" s="37">
        <f>'P&amp;L'!H17</f>
        <v>0.84871163653246562</v>
      </c>
      <c r="I9" s="37">
        <f>'P&amp;L'!I17</f>
        <v>0.87954365403043289</v>
      </c>
      <c r="J9" s="37">
        <f>'P&amp;L'!J17</f>
        <v>0.90127548142872616</v>
      </c>
      <c r="K9" s="37">
        <f>'P&amp;L'!K17</f>
        <v>0.91747128931533495</v>
      </c>
      <c r="L9" s="37">
        <f>'P&amp;L'!L17</f>
        <v>0.92997491044831815</v>
      </c>
      <c r="M9" s="37">
        <f>'P&amp;L'!M17</f>
        <v>0.93974947307700285</v>
      </c>
      <c r="N9" s="37">
        <f>'P&amp;L'!N17</f>
        <v>0.94805037052106889</v>
      </c>
      <c r="O9" s="37">
        <f>'P&amp;L'!O17</f>
        <v>0.94757273327342206</v>
      </c>
      <c r="P9" s="37">
        <f>'P&amp;L'!P17</f>
        <v>0.95339977222129513</v>
      </c>
      <c r="Q9" s="37">
        <f>'P&amp;L'!Q17</f>
        <v>0.95886657888175042</v>
      </c>
      <c r="R9" s="37">
        <f>'P&amp;L'!R17</f>
        <v>0.96292853630587605</v>
      </c>
      <c r="S9" s="37">
        <f>'P&amp;L'!S17</f>
        <v>0.96688571990340255</v>
      </c>
      <c r="T9" s="37">
        <f>'P&amp;L'!T17</f>
        <v>0.97028407211503609</v>
      </c>
      <c r="U9" s="37">
        <f>'P&amp;L'!U17</f>
        <v>0.97280843219121005</v>
      </c>
      <c r="V9" s="37">
        <f>'P&amp;L'!V17</f>
        <v>0.97541834370358715</v>
      </c>
      <c r="W9" s="37">
        <f>'P&amp;L'!W17</f>
        <v>0.97736863060781409</v>
      </c>
      <c r="X9" s="37">
        <f>'P&amp;L'!X17</f>
        <v>0.9794175275731537</v>
      </c>
      <c r="Y9" s="37">
        <f>'P&amp;L'!Y17</f>
        <v>0.98094758874904098</v>
      </c>
      <c r="Z9" s="37">
        <f>'P&amp;L'!Z17</f>
        <v>0.98258374694213746</v>
      </c>
      <c r="AA9" s="37">
        <f>'P&amp;L'!AA17</f>
        <v>0.98161478408618319</v>
      </c>
      <c r="AB9" s="37">
        <f>'P&amp;L'!AB17</f>
        <v>0.98291206740946691</v>
      </c>
      <c r="AC9" s="37">
        <f>'P&amp;L'!AC17</f>
        <v>0.9842990722207855</v>
      </c>
      <c r="AD9" s="37">
        <f>'P&amp;L'!AD17</f>
        <v>0.98536208004551717</v>
      </c>
      <c r="AE9" s="37">
        <f>'P&amp;L'!AE17</f>
        <v>0.9865089908462642</v>
      </c>
      <c r="AF9" s="37">
        <f>'P&amp;L'!AF17</f>
        <v>0.98738953287573139</v>
      </c>
      <c r="AG9" s="37">
        <f>'P&amp;L'!AG17</f>
        <v>0.98834878010298632</v>
      </c>
      <c r="AH9" s="37">
        <f>'P&amp;L'!AH17</f>
        <v>0.98908573071018113</v>
      </c>
      <c r="AI9" s="37">
        <f>'P&amp;L'!AI17</f>
        <v>0.98989569880775463</v>
      </c>
      <c r="AJ9" s="37">
        <f>'P&amp;L'!AJ17</f>
        <v>0.9905176308595105</v>
      </c>
      <c r="AK9" s="37">
        <f>'P&amp;L'!AK17</f>
        <v>0.99120548280708975</v>
      </c>
      <c r="AL9" s="37">
        <f>'P&amp;L'!AL17</f>
        <v>0.99183743654464041</v>
      </c>
      <c r="AM9" s="37">
        <f>'P&amp;L'!AM17</f>
        <v>0.99801140412185718</v>
      </c>
      <c r="AN9" s="37">
        <f>'P&amp;L'!AN17</f>
        <v>0.99800679886767019</v>
      </c>
      <c r="AO9" s="37">
        <f>'P&amp;L'!AO17</f>
        <v>0.99808527606813469</v>
      </c>
      <c r="AP9" s="37">
        <f>'P&amp;L'!AP17</f>
        <v>0.99806377949541325</v>
      </c>
      <c r="AQ9" s="37">
        <f>'P&amp;L'!AQ17</f>
        <v>0.99812259463633679</v>
      </c>
      <c r="AR9" s="37">
        <f>'P&amp;L'!AR17</f>
        <v>0.99809048591792715</v>
      </c>
      <c r="AS9" s="37">
        <f>'P&amp;L'!AS17</f>
        <v>0.99813612179801359</v>
      </c>
      <c r="AT9" s="37">
        <f>'P&amp;L'!AT17</f>
        <v>0.99809694783941616</v>
      </c>
      <c r="AU9" s="37">
        <f>'P&amp;L'!AU17</f>
        <v>0.99813323501505102</v>
      </c>
      <c r="AV9" s="37">
        <f>'P&amp;L'!AV17</f>
        <v>0.99808921325642264</v>
      </c>
      <c r="AW9" s="37">
        <f>'P&amp;L'!AW17</f>
        <v>0.99811891291997368</v>
      </c>
      <c r="AX9" s="37">
        <f>'P&amp;L'!AX17</f>
        <v>0.99814551076149527</v>
      </c>
      <c r="AY9" s="37">
        <f>'P&amp;L'!AY17</f>
        <v>0.99816949059159843</v>
      </c>
      <c r="AZ9" s="37">
        <f>'P&amp;L'!AZ17</f>
        <v>0.99811920623230099</v>
      </c>
      <c r="BA9" s="37">
        <f>'P&amp;L'!BA17</f>
        <v>0.99806858149816602</v>
      </c>
      <c r="BB9" s="37">
        <f>'P&amp;L'!BB17</f>
        <v>0.99808805294431602</v>
      </c>
      <c r="BC9" s="37">
        <f>'P&amp;L'!BC17</f>
        <v>0.99803623063342317</v>
      </c>
      <c r="BD9" s="37">
        <f>'P&amp;L'!BD17</f>
        <v>0.99805340205008852</v>
      </c>
      <c r="BE9" s="37">
        <f>'P&amp;L'!BE17</f>
        <v>0.99800084098236819</v>
      </c>
      <c r="BF9" s="37">
        <f>'P&amp;L'!BF17</f>
        <v>0.99794836749745441</v>
      </c>
      <c r="BG9" s="37">
        <f>'P&amp;L'!BG17</f>
        <v>0.99796344279627536</v>
      </c>
      <c r="BH9" s="37">
        <f>'P&amp;L'!BH17</f>
        <v>0.99791073212482773</v>
      </c>
      <c r="BI9" s="37">
        <f>'P&amp;L'!BI17</f>
        <v>0.99785823509011207</v>
      </c>
      <c r="BJ9" s="37">
        <f>'P&amp;L'!BJ17</f>
        <v>0.99787212777343526</v>
      </c>
      <c r="BK9" s="27">
        <f>IFERROR(SUMPRODUCT((YEAR(EDATE(Controls!$B$6,COLUMN($C$1:$BJ$1)-COLUMN($C$1)))=YEAR(Controls!$B$6)+0)*(COLUMN($C$1:$BJ$1)-COLUMN($C$1)&lt;Controls!$B$7)*$C$9:$BJ$9)/SUMPRODUCT((YEAR(EDATE(Controls!$B$6,COLUMN($C$1:$BJ$1)-COLUMN($C$1)))=YEAR(Controls!$B$6)+0)*(COLUMN($C$1:$BJ$1)-COLUMN($C$1)&lt;Controls!$B$7)*1),0)</f>
        <v>0.72959054696243364</v>
      </c>
      <c r="BL9" s="27">
        <f>IFERROR(SUMPRODUCT((YEAR(EDATE(Controls!$B$6,COLUMN($C$1:$BJ$1)-COLUMN($C$1)))=YEAR(Controls!$B$6)+1)*(COLUMN($C$1:$BJ$1)-COLUMN($C$1)&lt;Controls!$B$7)*$C$9:$BJ$9)/SUMPRODUCT((YEAR(EDATE(Controls!$B$6,COLUMN($C$1:$BJ$1)-COLUMN($C$1)))=YEAR(Controls!$B$6)+1)*(COLUMN($C$1:$BJ$1)-COLUMN($C$1)&lt;Controls!$B$7)*1),0)</f>
        <v>0.96904014020564377</v>
      </c>
      <c r="BM9" s="27">
        <f>IFERROR(SUMPRODUCT((YEAR(EDATE(Controls!$B$6,COLUMN($C$1:$BJ$1)-COLUMN($C$1)))=YEAR(Controls!$B$6)+2)*(COLUMN($C$1:$BJ$1)-COLUMN($C$1)&lt;Controls!$B$7)*$C$9:$BJ$9)/SUMPRODUCT((YEAR(EDATE(Controls!$B$6,COLUMN($C$1:$BJ$1)-COLUMN($C$1)))=YEAR(Controls!$B$6)+2)*(COLUMN($C$1:$BJ$1)-COLUMN($C$1)&lt;Controls!$B$7)*1),0)</f>
        <v>0.98741477394300936</v>
      </c>
      <c r="BN9" s="27">
        <f>IFERROR(SUMPRODUCT((YEAR(EDATE(Controls!$B$6,COLUMN($C$1:$BJ$1)-COLUMN($C$1)))=YEAR(Controls!$B$6)+3)*(COLUMN($C$1:$BJ$1)-COLUMN($C$1)&lt;Controls!$B$7)*$C$9:$BJ$9)/SUMPRODUCT((YEAR(EDATE(Controls!$B$6,COLUMN($C$1:$BJ$1)-COLUMN($C$1)))=YEAR(Controls!$B$6)+3)*(COLUMN($C$1:$BJ$1)-COLUMN($C$1)&lt;Controls!$B$7)*1),0)</f>
        <v>0</v>
      </c>
      <c r="BO9" s="27">
        <f>IFERROR(SUMPRODUCT((YEAR(EDATE(Controls!$B$6,COLUMN($C$1:$BJ$1)-COLUMN($C$1)))=YEAR(Controls!$B$6)+4)*(COLUMN($C$1:$BJ$1)-COLUMN($C$1)&lt;Controls!$B$7)*$C$9:$BJ$9)/SUMPRODUCT((YEAR(EDATE(Controls!$B$6,COLUMN($C$1:$BJ$1)-COLUMN($C$1)))=YEAR(Controls!$B$6)+4)*(COLUMN($C$1:$BJ$1)-COLUMN($C$1)&lt;Controls!$B$7)*1),0)</f>
        <v>0</v>
      </c>
      <c r="BP9" s="27">
        <f>IFERROR(SUMPRODUCT((YEAR(EDATE(Controls!$B$6,COLUMN($C$1:$BJ$1)-COLUMN($C$1)))=YEAR(Controls!$B$6)+5)*(COLUMN($C$1:$BJ$1)-COLUMN($C$1)&lt;Controls!$B$7)*$C$9:$BJ$9)/SUMPRODUCT((YEAR(EDATE(Controls!$B$6,COLUMN($C$1:$BJ$1)-COLUMN($C$1)))=YEAR(Controls!$B$6)+5)*(COLUMN($C$1:$BJ$1)-COLUMN($C$1)&lt;Controls!$B$7)*1),0)</f>
        <v>0</v>
      </c>
    </row>
    <row r="10" spans="1:68" x14ac:dyDescent="0.35">
      <c r="A10" s="6" t="s">
        <v>334</v>
      </c>
      <c r="B10" s="20" t="s">
        <v>110</v>
      </c>
      <c r="C10" s="37">
        <f>'P&amp;L'!C43</f>
        <v>-5.8178992854771137</v>
      </c>
      <c r="D10" s="37">
        <f>'P&amp;L'!D43</f>
        <v>-2.5664424670877284</v>
      </c>
      <c r="E10" s="37">
        <f>'P&amp;L'!E43</f>
        <v>-1.2247748738633528</v>
      </c>
      <c r="F10" s="37">
        <f>'P&amp;L'!F43</f>
        <v>-0.5319034236932183</v>
      </c>
      <c r="G10" s="37">
        <f>'P&amp;L'!G43</f>
        <v>-0.11834307491201086</v>
      </c>
      <c r="H10" s="37">
        <f>'P&amp;L'!H43</f>
        <v>0.14527109421782339</v>
      </c>
      <c r="I10" s="37">
        <f>'P&amp;L'!I43</f>
        <v>0.32527791659006022</v>
      </c>
      <c r="J10" s="37">
        <f>'P&amp;L'!J43</f>
        <v>0.45167508316050475</v>
      </c>
      <c r="K10" s="37">
        <f>'P&amp;L'!K43</f>
        <v>0.545451608565094</v>
      </c>
      <c r="L10" s="37">
        <f>'P&amp;L'!L43</f>
        <v>0.61749746862514421</v>
      </c>
      <c r="M10" s="37">
        <f>'P&amp;L'!M43</f>
        <v>0.67357032061993205</v>
      </c>
      <c r="N10" s="37">
        <f>'P&amp;L'!N43</f>
        <v>0.71854352549656952</v>
      </c>
      <c r="O10" s="37">
        <f>'P&amp;L'!O43</f>
        <v>0.69740364985392278</v>
      </c>
      <c r="P10" s="37">
        <f>'P&amp;L'!P43</f>
        <v>0.73479330788640029</v>
      </c>
      <c r="Q10" s="37">
        <f>'P&amp;L'!Q43</f>
        <v>0.76590546720306563</v>
      </c>
      <c r="R10" s="37">
        <f>'P&amp;L'!R43</f>
        <v>0.79191233215175039</v>
      </c>
      <c r="S10" s="37">
        <f>'P&amp;L'!S43</f>
        <v>0.81412459527820369</v>
      </c>
      <c r="T10" s="37">
        <f>'P&amp;L'!T43</f>
        <v>0.83320005429111132</v>
      </c>
      <c r="U10" s="37">
        <f>'P&amp;L'!U43</f>
        <v>0.84942004534184867</v>
      </c>
      <c r="V10" s="37">
        <f>'P&amp;L'!V43</f>
        <v>0.86387306842455924</v>
      </c>
      <c r="W10" s="37">
        <f>'P&amp;L'!W43</f>
        <v>0.87632488655282226</v>
      </c>
      <c r="X10" s="37">
        <f>'P&amp;L'!X43</f>
        <v>0.88752162680475988</v>
      </c>
      <c r="Y10" s="37">
        <f>'P&amp;L'!Y43</f>
        <v>0.89722947191015456</v>
      </c>
      <c r="Z10" s="37">
        <f>'P&amp;L'!Z43</f>
        <v>0.90605506565407423</v>
      </c>
      <c r="AA10" s="37">
        <f>'P&amp;L'!AA43</f>
        <v>0.8935315375347358</v>
      </c>
      <c r="AB10" s="37">
        <f>'P&amp;L'!AB43</f>
        <v>0.90215319522329662</v>
      </c>
      <c r="AC10" s="37">
        <f>'P&amp;L'!AC43</f>
        <v>0.91009529051647642</v>
      </c>
      <c r="AD10" s="37">
        <f>'P&amp;L'!AD43</f>
        <v>0.91710684731546577</v>
      </c>
      <c r="AE10" s="37">
        <f>'P&amp;L'!AE43</f>
        <v>0.92360169442608619</v>
      </c>
      <c r="AF10" s="37">
        <f>'P&amp;L'!AF43</f>
        <v>0.92936372200404338</v>
      </c>
      <c r="AG10" s="37">
        <f>'P&amp;L'!AG43</f>
        <v>0.93473684998919382</v>
      </c>
      <c r="AH10" s="37">
        <f>'P&amp;L'!AH43</f>
        <v>0.93951860515600516</v>
      </c>
      <c r="AI10" s="37">
        <f>'P&amp;L'!AI43</f>
        <v>0.94400704125919721</v>
      </c>
      <c r="AJ10" s="37">
        <f>'P&amp;L'!AJ43</f>
        <v>0.94800690076275784</v>
      </c>
      <c r="AK10" s="37">
        <f>'P&amp;L'!AK43</f>
        <v>0.95177848506211904</v>
      </c>
      <c r="AL10" s="37">
        <f>'P&amp;L'!AL43</f>
        <v>0.95524357199377186</v>
      </c>
      <c r="AM10" s="37">
        <f>'P&amp;L'!AM43</f>
        <v>0.99801140412185718</v>
      </c>
      <c r="AN10" s="37">
        <f>'P&amp;L'!AN43</f>
        <v>0.99800679886767019</v>
      </c>
      <c r="AO10" s="37">
        <f>'P&amp;L'!AO43</f>
        <v>0.99808527606813469</v>
      </c>
      <c r="AP10" s="37">
        <f>'P&amp;L'!AP43</f>
        <v>0.99806377949541325</v>
      </c>
      <c r="AQ10" s="37">
        <f>'P&amp;L'!AQ43</f>
        <v>0.99812259463633679</v>
      </c>
      <c r="AR10" s="37">
        <f>'P&amp;L'!AR43</f>
        <v>0.99809048591792715</v>
      </c>
      <c r="AS10" s="37">
        <f>'P&amp;L'!AS43</f>
        <v>0.99813612179801359</v>
      </c>
      <c r="AT10" s="37">
        <f>'P&amp;L'!AT43</f>
        <v>0.99809694783941616</v>
      </c>
      <c r="AU10" s="37">
        <f>'P&amp;L'!AU43</f>
        <v>0.99813323501505102</v>
      </c>
      <c r="AV10" s="37">
        <f>'P&amp;L'!AV43</f>
        <v>0.99808921325642264</v>
      </c>
      <c r="AW10" s="37">
        <f>'P&amp;L'!AW43</f>
        <v>0.99811891291997368</v>
      </c>
      <c r="AX10" s="37">
        <f>'P&amp;L'!AX43</f>
        <v>0.99814551076149527</v>
      </c>
      <c r="AY10" s="37">
        <f>'P&amp;L'!AY43</f>
        <v>0.99816949059159843</v>
      </c>
      <c r="AZ10" s="37">
        <f>'P&amp;L'!AZ43</f>
        <v>0.99811920623230099</v>
      </c>
      <c r="BA10" s="37">
        <f>'P&amp;L'!BA43</f>
        <v>0.99806858149816602</v>
      </c>
      <c r="BB10" s="37">
        <f>'P&amp;L'!BB43</f>
        <v>0.99808805294431602</v>
      </c>
      <c r="BC10" s="37">
        <f>'P&amp;L'!BC43</f>
        <v>0.99803623063342317</v>
      </c>
      <c r="BD10" s="37">
        <f>'P&amp;L'!BD43</f>
        <v>0.99805340205008852</v>
      </c>
      <c r="BE10" s="37">
        <f>'P&amp;L'!BE43</f>
        <v>0.99800084098236819</v>
      </c>
      <c r="BF10" s="37">
        <f>'P&amp;L'!BF43</f>
        <v>0.99794836749745441</v>
      </c>
      <c r="BG10" s="37">
        <f>'P&amp;L'!BG43</f>
        <v>0.99796344279627536</v>
      </c>
      <c r="BH10" s="37">
        <f>'P&amp;L'!BH43</f>
        <v>0.99791073212482773</v>
      </c>
      <c r="BI10" s="37">
        <f>'P&amp;L'!BI43</f>
        <v>0.99785823509011207</v>
      </c>
      <c r="BJ10" s="37">
        <f>'P&amp;L'!BJ43</f>
        <v>0.99787212777343526</v>
      </c>
      <c r="BK10" s="27">
        <f>IFERROR(SUMPRODUCT((YEAR(EDATE(Controls!$B$6,COLUMN($C$1:$BJ$1)-COLUMN($C$1)))=YEAR(Controls!$B$6)+0)*(COLUMN($C$1:$BJ$1)-COLUMN($C$1)&lt;Controls!$B$7)*$C$10:$BJ$10)/SUMPRODUCT((YEAR(EDATE(Controls!$B$6,COLUMN($C$1:$BJ$1)-COLUMN($C$1)))=YEAR(Controls!$B$6)+0)*(COLUMN($C$1:$BJ$1)-COLUMN($C$1)&lt;Controls!$B$7)*1),0)</f>
        <v>-0.565173008979858</v>
      </c>
      <c r="BL10" s="27">
        <f>IFERROR(SUMPRODUCT((YEAR(EDATE(Controls!$B$6,COLUMN($C$1:$BJ$1)-COLUMN($C$1)))=YEAR(Controls!$B$6)+1)*(COLUMN($C$1:$BJ$1)-COLUMN($C$1)&lt;Controls!$B$7)*$C$10:$BJ$10)/SUMPRODUCT((YEAR(EDATE(Controls!$B$6,COLUMN($C$1:$BJ$1)-COLUMN($C$1)))=YEAR(Controls!$B$6)+1)*(COLUMN($C$1:$BJ$1)-COLUMN($C$1)&lt;Controls!$B$7)*1),0)</f>
        <v>0.8264802976127229</v>
      </c>
      <c r="BM10" s="27">
        <f>IFERROR(SUMPRODUCT((YEAR(EDATE(Controls!$B$6,COLUMN($C$1:$BJ$1)-COLUMN($C$1)))=YEAR(Controls!$B$6)+2)*(COLUMN($C$1:$BJ$1)-COLUMN($C$1)&lt;Controls!$B$7)*$C$10:$BJ$10)/SUMPRODUCT((YEAR(EDATE(Controls!$B$6,COLUMN($C$1:$BJ$1)-COLUMN($C$1)))=YEAR(Controls!$B$6)+2)*(COLUMN($C$1:$BJ$1)-COLUMN($C$1)&lt;Controls!$B$7)*1),0)</f>
        <v>0.92909531177026261</v>
      </c>
      <c r="BN10" s="27">
        <f>IFERROR(SUMPRODUCT((YEAR(EDATE(Controls!$B$6,COLUMN($C$1:$BJ$1)-COLUMN($C$1)))=YEAR(Controls!$B$6)+3)*(COLUMN($C$1:$BJ$1)-COLUMN($C$1)&lt;Controls!$B$7)*$C$10:$BJ$10)/SUMPRODUCT((YEAR(EDATE(Controls!$B$6,COLUMN($C$1:$BJ$1)-COLUMN($C$1)))=YEAR(Controls!$B$6)+3)*(COLUMN($C$1:$BJ$1)-COLUMN($C$1)&lt;Controls!$B$7)*1),0)</f>
        <v>0</v>
      </c>
      <c r="BO10" s="27">
        <f>IFERROR(SUMPRODUCT((YEAR(EDATE(Controls!$B$6,COLUMN($C$1:$BJ$1)-COLUMN($C$1)))=YEAR(Controls!$B$6)+4)*(COLUMN($C$1:$BJ$1)-COLUMN($C$1)&lt;Controls!$B$7)*$C$10:$BJ$10)/SUMPRODUCT((YEAR(EDATE(Controls!$B$6,COLUMN($C$1:$BJ$1)-COLUMN($C$1)))=YEAR(Controls!$B$6)+4)*(COLUMN($C$1:$BJ$1)-COLUMN($C$1)&lt;Controls!$B$7)*1),0)</f>
        <v>0</v>
      </c>
      <c r="BP10" s="27">
        <f>IFERROR(SUMPRODUCT((YEAR(EDATE(Controls!$B$6,COLUMN($C$1:$BJ$1)-COLUMN($C$1)))=YEAR(Controls!$B$6)+5)*(COLUMN($C$1:$BJ$1)-COLUMN($C$1)&lt;Controls!$B$7)*$C$10:$BJ$10)/SUMPRODUCT((YEAR(EDATE(Controls!$B$6,COLUMN($C$1:$BJ$1)-COLUMN($C$1)))=YEAR(Controls!$B$6)+5)*(COLUMN($C$1:$BJ$1)-COLUMN($C$1)&lt;Controls!$B$7)*1),0)</f>
        <v>0</v>
      </c>
    </row>
    <row r="11" spans="1:68" x14ac:dyDescent="0.35">
      <c r="A11" s="6" t="s">
        <v>371</v>
      </c>
      <c r="B11" s="20" t="s">
        <v>124</v>
      </c>
      <c r="C11" s="29">
        <f>'Cash Flow'!C19</f>
        <v>6275.8052000000025</v>
      </c>
      <c r="D11" s="29">
        <f>'Cash Flow'!D19</f>
        <v>0</v>
      </c>
      <c r="E11" s="29">
        <f>'Cash Flow'!E19</f>
        <v>0</v>
      </c>
      <c r="F11" s="29">
        <f>'Cash Flow'!F19</f>
        <v>0</v>
      </c>
      <c r="G11" s="29">
        <f>'Cash Flow'!G19</f>
        <v>0</v>
      </c>
      <c r="H11" s="29">
        <f>'Cash Flow'!H19</f>
        <v>0</v>
      </c>
      <c r="I11" s="29">
        <f>'Cash Flow'!I19</f>
        <v>0</v>
      </c>
      <c r="J11" s="29">
        <f>'Cash Flow'!J19</f>
        <v>0</v>
      </c>
      <c r="K11" s="29">
        <f>'Cash Flow'!K19</f>
        <v>0</v>
      </c>
      <c r="L11" s="29">
        <f>'Cash Flow'!L19</f>
        <v>0</v>
      </c>
      <c r="M11" s="29">
        <f>'Cash Flow'!M19</f>
        <v>0</v>
      </c>
      <c r="N11" s="29">
        <f>'Cash Flow'!N19</f>
        <v>0</v>
      </c>
      <c r="O11" s="29">
        <f>'Cash Flow'!O19</f>
        <v>0</v>
      </c>
      <c r="P11" s="29">
        <f>'Cash Flow'!P19</f>
        <v>0</v>
      </c>
      <c r="Q11" s="29">
        <f>'Cash Flow'!Q19</f>
        <v>0</v>
      </c>
      <c r="R11" s="29">
        <f>'Cash Flow'!R19</f>
        <v>0</v>
      </c>
      <c r="S11" s="29">
        <f>'Cash Flow'!S19</f>
        <v>0</v>
      </c>
      <c r="T11" s="29">
        <f>'Cash Flow'!T19</f>
        <v>0</v>
      </c>
      <c r="U11" s="29">
        <f>'Cash Flow'!U19</f>
        <v>0</v>
      </c>
      <c r="V11" s="29">
        <f>'Cash Flow'!V19</f>
        <v>0</v>
      </c>
      <c r="W11" s="29">
        <f>'Cash Flow'!W19</f>
        <v>0</v>
      </c>
      <c r="X11" s="29">
        <f>'Cash Flow'!X19</f>
        <v>0</v>
      </c>
      <c r="Y11" s="29">
        <f>'Cash Flow'!Y19</f>
        <v>0</v>
      </c>
      <c r="Z11" s="29">
        <f>'Cash Flow'!Z19</f>
        <v>0</v>
      </c>
      <c r="AA11" s="29">
        <f>'Cash Flow'!AA19</f>
        <v>0</v>
      </c>
      <c r="AB11" s="29">
        <f>'Cash Flow'!AB19</f>
        <v>0</v>
      </c>
      <c r="AC11" s="29">
        <f>'Cash Flow'!AC19</f>
        <v>0</v>
      </c>
      <c r="AD11" s="29">
        <f>'Cash Flow'!AD19</f>
        <v>0</v>
      </c>
      <c r="AE11" s="29">
        <f>'Cash Flow'!AE19</f>
        <v>0</v>
      </c>
      <c r="AF11" s="29">
        <f>'Cash Flow'!AF19</f>
        <v>0</v>
      </c>
      <c r="AG11" s="29">
        <f>'Cash Flow'!AG19</f>
        <v>0</v>
      </c>
      <c r="AH11" s="29">
        <f>'Cash Flow'!AH19</f>
        <v>0</v>
      </c>
      <c r="AI11" s="29">
        <f>'Cash Flow'!AI19</f>
        <v>0</v>
      </c>
      <c r="AJ11" s="29">
        <f>'Cash Flow'!AJ19</f>
        <v>0</v>
      </c>
      <c r="AK11" s="29">
        <f>'Cash Flow'!AK19</f>
        <v>0</v>
      </c>
      <c r="AL11" s="29">
        <f>'Cash Flow'!AL19</f>
        <v>0</v>
      </c>
      <c r="AM11" s="29">
        <f>'Cash Flow'!AM19</f>
        <v>0</v>
      </c>
      <c r="AN11" s="29">
        <f>'Cash Flow'!AN19</f>
        <v>0</v>
      </c>
      <c r="AO11" s="29">
        <f>'Cash Flow'!AO19</f>
        <v>0</v>
      </c>
      <c r="AP11" s="29">
        <f>'Cash Flow'!AP19</f>
        <v>0</v>
      </c>
      <c r="AQ11" s="29">
        <f>'Cash Flow'!AQ19</f>
        <v>0</v>
      </c>
      <c r="AR11" s="29">
        <f>'Cash Flow'!AR19</f>
        <v>0</v>
      </c>
      <c r="AS11" s="29">
        <f>'Cash Flow'!AS19</f>
        <v>0</v>
      </c>
      <c r="AT11" s="29">
        <f>'Cash Flow'!AT19</f>
        <v>0</v>
      </c>
      <c r="AU11" s="29">
        <f>'Cash Flow'!AU19</f>
        <v>0</v>
      </c>
      <c r="AV11" s="29">
        <f>'Cash Flow'!AV19</f>
        <v>0</v>
      </c>
      <c r="AW11" s="29">
        <f>'Cash Flow'!AW19</f>
        <v>0</v>
      </c>
      <c r="AX11" s="29">
        <f>'Cash Flow'!AX19</f>
        <v>0</v>
      </c>
      <c r="AY11" s="29">
        <f>'Cash Flow'!AY19</f>
        <v>0</v>
      </c>
      <c r="AZ11" s="29">
        <f>'Cash Flow'!AZ19</f>
        <v>0</v>
      </c>
      <c r="BA11" s="29">
        <f>'Cash Flow'!BA19</f>
        <v>0</v>
      </c>
      <c r="BB11" s="29">
        <f>'Cash Flow'!BB19</f>
        <v>0</v>
      </c>
      <c r="BC11" s="29">
        <f>'Cash Flow'!BC19</f>
        <v>0</v>
      </c>
      <c r="BD11" s="29">
        <f>'Cash Flow'!BD19</f>
        <v>0</v>
      </c>
      <c r="BE11" s="29">
        <f>'Cash Flow'!BE19</f>
        <v>0</v>
      </c>
      <c r="BF11" s="29">
        <f>'Cash Flow'!BF19</f>
        <v>0</v>
      </c>
      <c r="BG11" s="29">
        <f>'Cash Flow'!BG19</f>
        <v>0</v>
      </c>
      <c r="BH11" s="29">
        <f>'Cash Flow'!BH19</f>
        <v>0</v>
      </c>
      <c r="BI11" s="29">
        <f>'Cash Flow'!BI19</f>
        <v>0</v>
      </c>
      <c r="BJ11" s="29">
        <f>'Cash Flow'!BJ19</f>
        <v>0</v>
      </c>
      <c r="BK11" s="24">
        <f>IFERROR(SUMPRODUCT((YEAR(EDATE(Controls!$B$6,COLUMN($C$1:$BJ$1)-COLUMN($C$1)))=YEAR(Controls!$B$6)+0)*(COLUMN($C$1:$BJ$1)-COLUMN($C$1)&lt;Controls!$B$7)*$C$11:$BJ$11)/SUMPRODUCT((YEAR(EDATE(Controls!$B$6,COLUMN($C$1:$BJ$1)-COLUMN($C$1)))=YEAR(Controls!$B$6)+0)*(COLUMN($C$1:$BJ$1)-COLUMN($C$1)&lt;Controls!$B$7)*1),0)</f>
        <v>522.98376666666684</v>
      </c>
      <c r="BL11" s="24">
        <f>IFERROR(SUMPRODUCT((YEAR(EDATE(Controls!$B$6,COLUMN($C$1:$BJ$1)-COLUMN($C$1)))=YEAR(Controls!$B$6)+1)*(COLUMN($C$1:$BJ$1)-COLUMN($C$1)&lt;Controls!$B$7)*$C$11:$BJ$11)/SUMPRODUCT((YEAR(EDATE(Controls!$B$6,COLUMN($C$1:$BJ$1)-COLUMN($C$1)))=YEAR(Controls!$B$6)+1)*(COLUMN($C$1:$BJ$1)-COLUMN($C$1)&lt;Controls!$B$7)*1),0)</f>
        <v>0</v>
      </c>
      <c r="BM11" s="24">
        <f>IFERROR(SUMPRODUCT((YEAR(EDATE(Controls!$B$6,COLUMN($C$1:$BJ$1)-COLUMN($C$1)))=YEAR(Controls!$B$6)+2)*(COLUMN($C$1:$BJ$1)-COLUMN($C$1)&lt;Controls!$B$7)*$C$11:$BJ$11)/SUMPRODUCT((YEAR(EDATE(Controls!$B$6,COLUMN($C$1:$BJ$1)-COLUMN($C$1)))=YEAR(Controls!$B$6)+2)*(COLUMN($C$1:$BJ$1)-COLUMN($C$1)&lt;Controls!$B$7)*1),0)</f>
        <v>0</v>
      </c>
      <c r="BN11" s="24">
        <f>IFERROR(SUMPRODUCT((YEAR(EDATE(Controls!$B$6,COLUMN($C$1:$BJ$1)-COLUMN($C$1)))=YEAR(Controls!$B$6)+3)*(COLUMN($C$1:$BJ$1)-COLUMN($C$1)&lt;Controls!$B$7)*$C$11:$BJ$11)/SUMPRODUCT((YEAR(EDATE(Controls!$B$6,COLUMN($C$1:$BJ$1)-COLUMN($C$1)))=YEAR(Controls!$B$6)+3)*(COLUMN($C$1:$BJ$1)-COLUMN($C$1)&lt;Controls!$B$7)*1),0)</f>
        <v>0</v>
      </c>
      <c r="BO11" s="24">
        <f>IFERROR(SUMPRODUCT((YEAR(EDATE(Controls!$B$6,COLUMN($C$1:$BJ$1)-COLUMN($C$1)))=YEAR(Controls!$B$6)+4)*(COLUMN($C$1:$BJ$1)-COLUMN($C$1)&lt;Controls!$B$7)*$C$11:$BJ$11)/SUMPRODUCT((YEAR(EDATE(Controls!$B$6,COLUMN($C$1:$BJ$1)-COLUMN($C$1)))=YEAR(Controls!$B$6)+4)*(COLUMN($C$1:$BJ$1)-COLUMN($C$1)&lt;Controls!$B$7)*1),0)</f>
        <v>0</v>
      </c>
      <c r="BP11" s="24">
        <f>IFERROR(SUMPRODUCT((YEAR(EDATE(Controls!$B$6,COLUMN($C$1:$BJ$1)-COLUMN($C$1)))=YEAR(Controls!$B$6)+5)*(COLUMN($C$1:$BJ$1)-COLUMN($C$1)&lt;Controls!$B$7)*$C$11:$BJ$11)/SUMPRODUCT((YEAR(EDATE(Controls!$B$6,COLUMN($C$1:$BJ$1)-COLUMN($C$1)))=YEAR(Controls!$B$6)+5)*(COLUMN($C$1:$BJ$1)-COLUMN($C$1)&lt;Controls!$B$7)*1),0)</f>
        <v>0</v>
      </c>
    </row>
    <row r="12" spans="1:68" x14ac:dyDescent="0.35">
      <c r="A12" s="6" t="s">
        <v>372</v>
      </c>
      <c r="B12" s="20" t="s">
        <v>301</v>
      </c>
      <c r="C12" s="40">
        <f>'Cash Flow'!C28</f>
        <v>158.34210322525618</v>
      </c>
      <c r="D12" s="40">
        <f>'Cash Flow'!D28</f>
        <v>999</v>
      </c>
      <c r="E12" s="40">
        <f>'Cash Flow'!E28</f>
        <v>999</v>
      </c>
      <c r="F12" s="40">
        <f>'Cash Flow'!F28</f>
        <v>999</v>
      </c>
      <c r="G12" s="40">
        <f>'Cash Flow'!G28</f>
        <v>999</v>
      </c>
      <c r="H12" s="40">
        <f>'Cash Flow'!H28</f>
        <v>999</v>
      </c>
      <c r="I12" s="40">
        <f>'Cash Flow'!I28</f>
        <v>999</v>
      </c>
      <c r="J12" s="40">
        <f>'Cash Flow'!J28</f>
        <v>999</v>
      </c>
      <c r="K12" s="40">
        <f>'Cash Flow'!K28</f>
        <v>999</v>
      </c>
      <c r="L12" s="40">
        <f>'Cash Flow'!L28</f>
        <v>999</v>
      </c>
      <c r="M12" s="40">
        <f>'Cash Flow'!M28</f>
        <v>999</v>
      </c>
      <c r="N12" s="40">
        <f>'Cash Flow'!N28</f>
        <v>999</v>
      </c>
      <c r="O12" s="40">
        <f>'Cash Flow'!O28</f>
        <v>999</v>
      </c>
      <c r="P12" s="40">
        <f>'Cash Flow'!P28</f>
        <v>999</v>
      </c>
      <c r="Q12" s="40">
        <f>'Cash Flow'!Q28</f>
        <v>999</v>
      </c>
      <c r="R12" s="40">
        <f>'Cash Flow'!R28</f>
        <v>999</v>
      </c>
      <c r="S12" s="40">
        <f>'Cash Flow'!S28</f>
        <v>999</v>
      </c>
      <c r="T12" s="40">
        <f>'Cash Flow'!T28</f>
        <v>999</v>
      </c>
      <c r="U12" s="40">
        <f>'Cash Flow'!U28</f>
        <v>999</v>
      </c>
      <c r="V12" s="40">
        <f>'Cash Flow'!V28</f>
        <v>999</v>
      </c>
      <c r="W12" s="40">
        <f>'Cash Flow'!W28</f>
        <v>999</v>
      </c>
      <c r="X12" s="40">
        <f>'Cash Flow'!X28</f>
        <v>999</v>
      </c>
      <c r="Y12" s="40">
        <f>'Cash Flow'!Y28</f>
        <v>999</v>
      </c>
      <c r="Z12" s="40">
        <f>'Cash Flow'!Z28</f>
        <v>999</v>
      </c>
      <c r="AA12" s="40">
        <f>'Cash Flow'!AA28</f>
        <v>999</v>
      </c>
      <c r="AB12" s="40">
        <f>'Cash Flow'!AB28</f>
        <v>999</v>
      </c>
      <c r="AC12" s="40">
        <f>'Cash Flow'!AC28</f>
        <v>999</v>
      </c>
      <c r="AD12" s="40">
        <f>'Cash Flow'!AD28</f>
        <v>999</v>
      </c>
      <c r="AE12" s="40">
        <f>'Cash Flow'!AE28</f>
        <v>999</v>
      </c>
      <c r="AF12" s="40">
        <f>'Cash Flow'!AF28</f>
        <v>999</v>
      </c>
      <c r="AG12" s="40">
        <f>'Cash Flow'!AG28</f>
        <v>999</v>
      </c>
      <c r="AH12" s="40">
        <f>'Cash Flow'!AH28</f>
        <v>999</v>
      </c>
      <c r="AI12" s="40">
        <f>'Cash Flow'!AI28</f>
        <v>999</v>
      </c>
      <c r="AJ12" s="40">
        <f>'Cash Flow'!AJ28</f>
        <v>999</v>
      </c>
      <c r="AK12" s="40">
        <f>'Cash Flow'!AK28</f>
        <v>999</v>
      </c>
      <c r="AL12" s="40">
        <f>'Cash Flow'!AL28</f>
        <v>999</v>
      </c>
      <c r="AM12" s="40">
        <f>'Cash Flow'!AM28</f>
        <v>999</v>
      </c>
      <c r="AN12" s="40">
        <f>'Cash Flow'!AN28</f>
        <v>999</v>
      </c>
      <c r="AO12" s="40">
        <f>'Cash Flow'!AO28</f>
        <v>999</v>
      </c>
      <c r="AP12" s="40">
        <f>'Cash Flow'!AP28</f>
        <v>999</v>
      </c>
      <c r="AQ12" s="40">
        <f>'Cash Flow'!AQ28</f>
        <v>999</v>
      </c>
      <c r="AR12" s="40">
        <f>'Cash Flow'!AR28</f>
        <v>999</v>
      </c>
      <c r="AS12" s="40">
        <f>'Cash Flow'!AS28</f>
        <v>999</v>
      </c>
      <c r="AT12" s="40">
        <f>'Cash Flow'!AT28</f>
        <v>999</v>
      </c>
      <c r="AU12" s="40">
        <f>'Cash Flow'!AU28</f>
        <v>999</v>
      </c>
      <c r="AV12" s="40">
        <f>'Cash Flow'!AV28</f>
        <v>999</v>
      </c>
      <c r="AW12" s="40">
        <f>'Cash Flow'!AW28</f>
        <v>999</v>
      </c>
      <c r="AX12" s="40">
        <f>'Cash Flow'!AX28</f>
        <v>999</v>
      </c>
      <c r="AY12" s="40">
        <f>'Cash Flow'!AY28</f>
        <v>999</v>
      </c>
      <c r="AZ12" s="40">
        <f>'Cash Flow'!AZ28</f>
        <v>999</v>
      </c>
      <c r="BA12" s="40">
        <f>'Cash Flow'!BA28</f>
        <v>999</v>
      </c>
      <c r="BB12" s="40">
        <f>'Cash Flow'!BB28</f>
        <v>999</v>
      </c>
      <c r="BC12" s="40">
        <f>'Cash Flow'!BC28</f>
        <v>999</v>
      </c>
      <c r="BD12" s="40">
        <f>'Cash Flow'!BD28</f>
        <v>999</v>
      </c>
      <c r="BE12" s="40">
        <f>'Cash Flow'!BE28</f>
        <v>999</v>
      </c>
      <c r="BF12" s="40">
        <f>'Cash Flow'!BF28</f>
        <v>999</v>
      </c>
      <c r="BG12" s="40">
        <f>'Cash Flow'!BG28</f>
        <v>999</v>
      </c>
      <c r="BH12" s="40">
        <f>'Cash Flow'!BH28</f>
        <v>999</v>
      </c>
      <c r="BI12" s="40">
        <f>'Cash Flow'!BI28</f>
        <v>999</v>
      </c>
      <c r="BJ12" s="40">
        <f>'Cash Flow'!BJ28</f>
        <v>999</v>
      </c>
      <c r="BK12" s="26">
        <f>IFERROR(LOOKUP(2,1/((YEAR(EDATE(Controls!$B$6,COLUMN($C$1:$BJ$1)-COLUMN($C$1)))=YEAR(Controls!$B$6)+0)*(COLUMN($C$1:$BJ$1)-COLUMN($C$1)&lt;Controls!$B$7)),$C$12:$BJ$12),0)</f>
        <v>999</v>
      </c>
      <c r="BL12" s="26">
        <f>IFERROR(LOOKUP(2,1/((YEAR(EDATE(Controls!$B$6,COLUMN($C$1:$BJ$1)-COLUMN($C$1)))=YEAR(Controls!$B$6)+1)*(COLUMN($C$1:$BJ$1)-COLUMN($C$1)&lt;Controls!$B$7)),$C$12:$BJ$12),0)</f>
        <v>999</v>
      </c>
      <c r="BM12" s="26">
        <f>IFERROR(LOOKUP(2,1/((YEAR(EDATE(Controls!$B$6,COLUMN($C$1:$BJ$1)-COLUMN($C$1)))=YEAR(Controls!$B$6)+2)*(COLUMN($C$1:$BJ$1)-COLUMN($C$1)&lt;Controls!$B$7)),$C$12:$BJ$12),0)</f>
        <v>999</v>
      </c>
      <c r="BN12" s="26">
        <f>IFERROR(LOOKUP(2,1/((YEAR(EDATE(Controls!$B$6,COLUMN($C$1:$BJ$1)-COLUMN($C$1)))=YEAR(Controls!$B$6)+3)*(COLUMN($C$1:$BJ$1)-COLUMN($C$1)&lt;Controls!$B$7)),$C$12:$BJ$12),0)</f>
        <v>0</v>
      </c>
      <c r="BO12" s="26">
        <f>IFERROR(LOOKUP(2,1/((YEAR(EDATE(Controls!$B$6,COLUMN($C$1:$BJ$1)-COLUMN($C$1)))=YEAR(Controls!$B$6)+4)*(COLUMN($C$1:$BJ$1)-COLUMN($C$1)&lt;Controls!$B$7)),$C$12:$BJ$12),0)</f>
        <v>0</v>
      </c>
      <c r="BP12" s="26">
        <f>IFERROR(LOOKUP(2,1/((YEAR(EDATE(Controls!$B$6,COLUMN($C$1:$BJ$1)-COLUMN($C$1)))=YEAR(Controls!$B$6)+5)*(COLUMN($C$1:$BJ$1)-COLUMN($C$1)&lt;Controls!$B$7)),$C$12:$BJ$12),0)</f>
        <v>0</v>
      </c>
    </row>
    <row r="14" spans="1:68" ht="18" customHeight="1" x14ac:dyDescent="0.35">
      <c r="A14" s="58" t="s">
        <v>373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</row>
    <row r="15" spans="1:68" x14ac:dyDescent="0.35">
      <c r="A15" s="6" t="s">
        <v>374</v>
      </c>
      <c r="B15" s="20" t="s">
        <v>105</v>
      </c>
      <c r="C15" s="24">
        <f t="shared" ref="C15:AH15" si="0">IFERROR(C5/C7,0)</f>
        <v>124.15848571428573</v>
      </c>
      <c r="D15" s="24">
        <f t="shared" si="0"/>
        <v>126.76998868148148</v>
      </c>
      <c r="E15" s="24">
        <f t="shared" si="0"/>
        <v>127.72332060858706</v>
      </c>
      <c r="F15" s="24">
        <f t="shared" si="0"/>
        <v>128.31484305125133</v>
      </c>
      <c r="G15" s="24">
        <f t="shared" si="0"/>
        <v>129.61100680616028</v>
      </c>
      <c r="H15" s="24">
        <f t="shared" si="0"/>
        <v>130.35003027642392</v>
      </c>
      <c r="I15" s="24">
        <f t="shared" si="0"/>
        <v>131.48657411417372</v>
      </c>
      <c r="J15" s="24">
        <f t="shared" si="0"/>
        <v>131.78368738053058</v>
      </c>
      <c r="K15" s="24">
        <f t="shared" si="0"/>
        <v>132.5053766564501</v>
      </c>
      <c r="L15" s="24">
        <f t="shared" si="0"/>
        <v>133.53137795299236</v>
      </c>
      <c r="M15" s="24">
        <f t="shared" si="0"/>
        <v>134.10682797450184</v>
      </c>
      <c r="N15" s="24">
        <f t="shared" si="0"/>
        <v>134.94682351368215</v>
      </c>
      <c r="O15" s="24">
        <f t="shared" si="0"/>
        <v>135.96303420155147</v>
      </c>
      <c r="P15" s="24">
        <f t="shared" si="0"/>
        <v>136.97494588021689</v>
      </c>
      <c r="Q15" s="24">
        <f t="shared" si="0"/>
        <v>137.74382848846315</v>
      </c>
      <c r="R15" s="24">
        <f t="shared" si="0"/>
        <v>138.52909451271677</v>
      </c>
      <c r="S15" s="24">
        <f t="shared" si="0"/>
        <v>139.08771609587231</v>
      </c>
      <c r="T15" s="24">
        <f t="shared" si="0"/>
        <v>139.69269248868022</v>
      </c>
      <c r="U15" s="24">
        <f t="shared" si="0"/>
        <v>140.37945203032257</v>
      </c>
      <c r="V15" s="24">
        <f t="shared" si="0"/>
        <v>141.17630653538075</v>
      </c>
      <c r="W15" s="24">
        <f t="shared" si="0"/>
        <v>141.97674266456221</v>
      </c>
      <c r="X15" s="24">
        <f t="shared" si="0"/>
        <v>142.73706514539506</v>
      </c>
      <c r="Y15" s="24">
        <f t="shared" si="0"/>
        <v>143.34848021653522</v>
      </c>
      <c r="Z15" s="24">
        <f t="shared" si="0"/>
        <v>143.98436166691818</v>
      </c>
      <c r="AA15" s="24">
        <f t="shared" si="0"/>
        <v>144.66175348296557</v>
      </c>
      <c r="AB15" s="24">
        <f t="shared" si="0"/>
        <v>145.34214594100899</v>
      </c>
      <c r="AC15" s="24">
        <f t="shared" si="0"/>
        <v>146.05436447355936</v>
      </c>
      <c r="AD15" s="24">
        <f t="shared" si="0"/>
        <v>146.63646655821901</v>
      </c>
      <c r="AE15" s="24">
        <f t="shared" si="0"/>
        <v>147.20501914464472</v>
      </c>
      <c r="AF15" s="24">
        <f t="shared" si="0"/>
        <v>147.76282257886646</v>
      </c>
      <c r="AG15" s="24">
        <f t="shared" si="0"/>
        <v>148.26715515346331</v>
      </c>
      <c r="AH15" s="24">
        <f t="shared" si="0"/>
        <v>148.7497794166832</v>
      </c>
      <c r="AI15" s="24">
        <f t="shared" ref="AI15:BJ15" si="1">IFERROR(AI5/AI7,0)</f>
        <v>149.24533679949235</v>
      </c>
      <c r="AJ15" s="24">
        <f t="shared" si="1"/>
        <v>149.66939629254105</v>
      </c>
      <c r="AK15" s="24">
        <f t="shared" si="1"/>
        <v>150.09627854418108</v>
      </c>
      <c r="AL15" s="24">
        <f t="shared" si="1"/>
        <v>150.51093793558852</v>
      </c>
      <c r="AM15" s="24">
        <f t="shared" si="1"/>
        <v>153.54197567522647</v>
      </c>
      <c r="AN15" s="24">
        <f t="shared" si="1"/>
        <v>156.67296689918473</v>
      </c>
      <c r="AO15" s="24">
        <f t="shared" si="1"/>
        <v>159.88615960306555</v>
      </c>
      <c r="AP15" s="24">
        <f t="shared" si="1"/>
        <v>163.20263429376286</v>
      </c>
      <c r="AQ15" s="24">
        <f t="shared" si="1"/>
        <v>166.64339342257853</v>
      </c>
      <c r="AR15" s="24">
        <f t="shared" si="1"/>
        <v>170.18984643076001</v>
      </c>
      <c r="AS15" s="24">
        <f t="shared" si="1"/>
        <v>173.84237060677697</v>
      </c>
      <c r="AT15" s="24">
        <f t="shared" si="1"/>
        <v>177.6065246797487</v>
      </c>
      <c r="AU15" s="24">
        <f t="shared" si="1"/>
        <v>181.50444219880001</v>
      </c>
      <c r="AV15" s="24">
        <f t="shared" si="1"/>
        <v>185.51125240630932</v>
      </c>
      <c r="AW15" s="24">
        <f t="shared" si="1"/>
        <v>189.72961685030879</v>
      </c>
      <c r="AX15" s="24">
        <f t="shared" si="1"/>
        <v>194.0930464406662</v>
      </c>
      <c r="AY15" s="24">
        <f t="shared" si="1"/>
        <v>198.57095348408114</v>
      </c>
      <c r="AZ15" s="24">
        <f t="shared" si="1"/>
        <v>203.20773132617944</v>
      </c>
      <c r="BA15" s="24">
        <f t="shared" si="1"/>
        <v>207.99528557525591</v>
      </c>
      <c r="BB15" s="24">
        <f t="shared" si="1"/>
        <v>212.95043694204105</v>
      </c>
      <c r="BC15" s="24">
        <f t="shared" si="1"/>
        <v>218.06183508728498</v>
      </c>
      <c r="BD15" s="24">
        <f t="shared" si="1"/>
        <v>223.34885734885813</v>
      </c>
      <c r="BE15" s="24">
        <f t="shared" si="1"/>
        <v>228.79628616644197</v>
      </c>
      <c r="BF15" s="24">
        <f t="shared" si="1"/>
        <v>234.40377296615108</v>
      </c>
      <c r="BG15" s="24">
        <f t="shared" si="1"/>
        <v>240.24632855030433</v>
      </c>
      <c r="BH15" s="24">
        <f t="shared" si="1"/>
        <v>246.25554837288621</v>
      </c>
      <c r="BI15" s="24">
        <f t="shared" si="1"/>
        <v>252.45841475043994</v>
      </c>
      <c r="BJ15" s="24">
        <f t="shared" si="1"/>
        <v>258.82703209170933</v>
      </c>
      <c r="BK15" s="24">
        <f>IFERROR(SUMPRODUCT((YEAR(EDATE(Controls!$B$6,COLUMN($C$1:$BJ$1)-COLUMN($C$1)))=YEAR(Controls!$B$6)+0)*(COLUMN($C$1:$BJ$1)-COLUMN($C$1)&lt;Controls!$B$7)*$C$15:$BJ$15)/SUMPRODUCT((YEAR(EDATE(Controls!$B$6,COLUMN($C$1:$BJ$1)-COLUMN($C$1)))=YEAR(Controls!$B$6)+0)*(COLUMN($C$1:$BJ$1)-COLUMN($C$1)&lt;Controls!$B$7)*1),0)</f>
        <v>130.44069522754339</v>
      </c>
      <c r="BL15" s="24">
        <f>IFERROR(SUMPRODUCT((YEAR(EDATE(Controls!$B$6,COLUMN($C$1:$BJ$1)-COLUMN($C$1)))=YEAR(Controls!$B$6)+1)*(COLUMN($C$1:$BJ$1)-COLUMN($C$1)&lt;Controls!$B$7)*$C$15:$BJ$15)/SUMPRODUCT((YEAR(EDATE(Controls!$B$6,COLUMN($C$1:$BJ$1)-COLUMN($C$1)))=YEAR(Controls!$B$6)+1)*(COLUMN($C$1:$BJ$1)-COLUMN($C$1)&lt;Controls!$B$7)*1),0)</f>
        <v>140.13280999388459</v>
      </c>
      <c r="BM15" s="24">
        <f>IFERROR(SUMPRODUCT((YEAR(EDATE(Controls!$B$6,COLUMN($C$1:$BJ$1)-COLUMN($C$1)))=YEAR(Controls!$B$6)+2)*(COLUMN($C$1:$BJ$1)-COLUMN($C$1)&lt;Controls!$B$7)*$C$15:$BJ$15)/SUMPRODUCT((YEAR(EDATE(Controls!$B$6,COLUMN($C$1:$BJ$1)-COLUMN($C$1)))=YEAR(Controls!$B$6)+2)*(COLUMN($C$1:$BJ$1)-COLUMN($C$1)&lt;Controls!$B$7)*1),0)</f>
        <v>147.85012136010116</v>
      </c>
      <c r="BN15" s="24">
        <f>IFERROR(SUMPRODUCT((YEAR(EDATE(Controls!$B$6,COLUMN($C$1:$BJ$1)-COLUMN($C$1)))=YEAR(Controls!$B$6)+3)*(COLUMN($C$1:$BJ$1)-COLUMN($C$1)&lt;Controls!$B$7)*$C$15:$BJ$15)/SUMPRODUCT((YEAR(EDATE(Controls!$B$6,COLUMN($C$1:$BJ$1)-COLUMN($C$1)))=YEAR(Controls!$B$6)+3)*(COLUMN($C$1:$BJ$1)-COLUMN($C$1)&lt;Controls!$B$7)*1),0)</f>
        <v>0</v>
      </c>
      <c r="BO15" s="24">
        <f>IFERROR(SUMPRODUCT((YEAR(EDATE(Controls!$B$6,COLUMN($C$1:$BJ$1)-COLUMN($C$1)))=YEAR(Controls!$B$6)+4)*(COLUMN($C$1:$BJ$1)-COLUMN($C$1)&lt;Controls!$B$7)*$C$15:$BJ$15)/SUMPRODUCT((YEAR(EDATE(Controls!$B$6,COLUMN($C$1:$BJ$1)-COLUMN($C$1)))=YEAR(Controls!$B$6)+4)*(COLUMN($C$1:$BJ$1)-COLUMN($C$1)&lt;Controls!$B$7)*1),0)</f>
        <v>0</v>
      </c>
      <c r="BP15" s="24">
        <f>IFERROR(SUMPRODUCT((YEAR(EDATE(Controls!$B$6,COLUMN($C$1:$BJ$1)-COLUMN($C$1)))=YEAR(Controls!$B$6)+5)*(COLUMN($C$1:$BJ$1)-COLUMN($C$1)&lt;Controls!$B$7)*$C$15:$BJ$15)/SUMPRODUCT((YEAR(EDATE(Controls!$B$6,COLUMN($C$1:$BJ$1)-COLUMN($C$1)))=YEAR(Controls!$B$6)+5)*(COLUMN($C$1:$BJ$1)-COLUMN($C$1)&lt;Controls!$B$7)*1),0)</f>
        <v>0</v>
      </c>
    </row>
    <row r="16" spans="1:68" x14ac:dyDescent="0.35">
      <c r="A16" s="6" t="s">
        <v>375</v>
      </c>
      <c r="B16" s="20" t="s">
        <v>124</v>
      </c>
      <c r="C16" s="24">
        <f>IFERROR(C15/((Revenue!C49*$C$50+Revenue!C56*$C$57+Revenue!C63*$C$64)/C7)*C9,0)</f>
        <v>0</v>
      </c>
      <c r="D16" s="24">
        <f>IFERROR(D15/((Revenue!D49*$C$50+Revenue!D56*$C$57+Revenue!D63*$C$64)/D7)*D9,0)</f>
        <v>0</v>
      </c>
      <c r="E16" s="24">
        <f>IFERROR(E15/((Revenue!E49*$C$50+Revenue!E56*$C$57+Revenue!E63*$C$64)/E7)*E9,0)</f>
        <v>0</v>
      </c>
      <c r="F16" s="24">
        <f>IFERROR(F15/((Revenue!F49*$C$50+Revenue!F56*$C$57+Revenue!F63*$C$64)/F7)*F9,0)</f>
        <v>0</v>
      </c>
      <c r="G16" s="24">
        <f>IFERROR(G15/((Revenue!G49*$C$50+Revenue!G56*$C$57+Revenue!G63*$C$64)/G7)*G9,0)</f>
        <v>0</v>
      </c>
      <c r="H16" s="24">
        <f>IFERROR(H15/((Revenue!H49*$C$50+Revenue!H56*$C$57+Revenue!H63*$C$64)/H7)*H9,0)</f>
        <v>0</v>
      </c>
      <c r="I16" s="24">
        <f>IFERROR(I15/((Revenue!I49*$C$50+Revenue!I56*$C$57+Revenue!I63*$C$64)/I7)*I9,0)</f>
        <v>0</v>
      </c>
      <c r="J16" s="24">
        <f>IFERROR(J15/((Revenue!J49*$C$50+Revenue!J56*$C$57+Revenue!J63*$C$64)/J7)*J9,0)</f>
        <v>0</v>
      </c>
      <c r="K16" s="24">
        <f>IFERROR(K15/((Revenue!K49*$C$50+Revenue!K56*$C$57+Revenue!K63*$C$64)/K7)*K9,0)</f>
        <v>0</v>
      </c>
      <c r="L16" s="24">
        <f>IFERROR(L15/((Revenue!L49*$C$50+Revenue!L56*$C$57+Revenue!L63*$C$64)/L7)*L9,0)</f>
        <v>0</v>
      </c>
      <c r="M16" s="24">
        <f>IFERROR(M15/((Revenue!M49*$C$50+Revenue!M56*$C$57+Revenue!M63*$C$64)/M7)*M9,0)</f>
        <v>0</v>
      </c>
      <c r="N16" s="24">
        <f>IFERROR(N15/((Revenue!N49*$C$50+Revenue!N56*$C$57+Revenue!N63*$C$64)/N7)*N9,0)</f>
        <v>0</v>
      </c>
      <c r="O16" s="24">
        <f>IFERROR(O15/((Revenue!O49*$C$50+Revenue!O56*$C$57+Revenue!O63*$C$64)/O7)*O9,0)</f>
        <v>0</v>
      </c>
      <c r="P16" s="24">
        <f>IFERROR(P15/((Revenue!P49*$C$50+Revenue!P56*$C$57+Revenue!P63*$C$64)/P7)*P9,0)</f>
        <v>0</v>
      </c>
      <c r="Q16" s="24">
        <f>IFERROR(Q15/((Revenue!Q49*$C$50+Revenue!Q56*$C$57+Revenue!Q63*$C$64)/Q7)*Q9,0)</f>
        <v>0</v>
      </c>
      <c r="R16" s="24">
        <f>IFERROR(R15/((Revenue!R49*$C$50+Revenue!R56*$C$57+Revenue!R63*$C$64)/R7)*R9,0)</f>
        <v>0</v>
      </c>
      <c r="S16" s="24">
        <f>IFERROR(S15/((Revenue!S49*$C$50+Revenue!S56*$C$57+Revenue!S63*$C$64)/S7)*S9,0)</f>
        <v>0</v>
      </c>
      <c r="T16" s="24">
        <f>IFERROR(T15/((Revenue!T49*$C$50+Revenue!T56*$C$57+Revenue!T63*$C$64)/T7)*T9,0)</f>
        <v>0</v>
      </c>
      <c r="U16" s="24">
        <f>IFERROR(U15/((Revenue!U49*$C$50+Revenue!U56*$C$57+Revenue!U63*$C$64)/U7)*U9,0)</f>
        <v>0</v>
      </c>
      <c r="V16" s="24">
        <f>IFERROR(V15/((Revenue!V49*$C$50+Revenue!V56*$C$57+Revenue!V63*$C$64)/V7)*V9,0)</f>
        <v>0</v>
      </c>
      <c r="W16" s="24">
        <f>IFERROR(W15/((Revenue!W49*$C$50+Revenue!W56*$C$57+Revenue!W63*$C$64)/W7)*W9,0)</f>
        <v>0</v>
      </c>
      <c r="X16" s="24">
        <f>IFERROR(X15/((Revenue!X49*$C$50+Revenue!X56*$C$57+Revenue!X63*$C$64)/X7)*X9,0)</f>
        <v>0</v>
      </c>
      <c r="Y16" s="24">
        <f>IFERROR(Y15/((Revenue!Y49*$C$50+Revenue!Y56*$C$57+Revenue!Y63*$C$64)/Y7)*Y9,0)</f>
        <v>0</v>
      </c>
      <c r="Z16" s="24">
        <f>IFERROR(Z15/((Revenue!Z49*$C$50+Revenue!Z56*$C$57+Revenue!Z63*$C$64)/Z7)*Z9,0)</f>
        <v>0</v>
      </c>
      <c r="AA16" s="24">
        <f>IFERROR(AA15/((Revenue!AA49*$C$50+Revenue!AA56*$C$57+Revenue!AA63*$C$64)/AA7)*AA9,0)</f>
        <v>0</v>
      </c>
      <c r="AB16" s="24">
        <f>IFERROR(AB15/((Revenue!AB49*$C$50+Revenue!AB56*$C$57+Revenue!AB63*$C$64)/AB7)*AB9,0)</f>
        <v>0</v>
      </c>
      <c r="AC16" s="24">
        <f>IFERROR(AC15/((Revenue!AC49*$C$50+Revenue!AC56*$C$57+Revenue!AC63*$C$64)/AC7)*AC9,0)</f>
        <v>0</v>
      </c>
      <c r="AD16" s="24">
        <f>IFERROR(AD15/((Revenue!AD49*$C$50+Revenue!AD56*$C$57+Revenue!AD63*$C$64)/AD7)*AD9,0)</f>
        <v>0</v>
      </c>
      <c r="AE16" s="24">
        <f>IFERROR(AE15/((Revenue!AE49*$C$50+Revenue!AE56*$C$57+Revenue!AE63*$C$64)/AE7)*AE9,0)</f>
        <v>0</v>
      </c>
      <c r="AF16" s="24">
        <f>IFERROR(AF15/((Revenue!AF49*$C$50+Revenue!AF56*$C$57+Revenue!AF63*$C$64)/AF7)*AF9,0)</f>
        <v>0</v>
      </c>
      <c r="AG16" s="24">
        <f>IFERROR(AG15/((Revenue!AG49*$C$50+Revenue!AG56*$C$57+Revenue!AG63*$C$64)/AG7)*AG9,0)</f>
        <v>0</v>
      </c>
      <c r="AH16" s="24">
        <f>IFERROR(AH15/((Revenue!AH49*$C$50+Revenue!AH56*$C$57+Revenue!AH63*$C$64)/AH7)*AH9,0)</f>
        <v>0</v>
      </c>
      <c r="AI16" s="24">
        <f>IFERROR(AI15/((Revenue!AI49*$C$50+Revenue!AI56*$C$57+Revenue!AI63*$C$64)/AI7)*AI9,0)</f>
        <v>0</v>
      </c>
      <c r="AJ16" s="24">
        <f>IFERROR(AJ15/((Revenue!AJ49*$C$50+Revenue!AJ56*$C$57+Revenue!AJ63*$C$64)/AJ7)*AJ9,0)</f>
        <v>0</v>
      </c>
      <c r="AK16" s="24">
        <f>IFERROR(AK15/((Revenue!AK49*$C$50+Revenue!AK56*$C$57+Revenue!AK63*$C$64)/AK7)*AK9,0)</f>
        <v>0</v>
      </c>
      <c r="AL16" s="24">
        <f>IFERROR(AL15/((Revenue!AL49*$C$50+Revenue!AL56*$C$57+Revenue!AL63*$C$64)/AL7)*AL9,0)</f>
        <v>0</v>
      </c>
      <c r="AM16" s="24">
        <f>IFERROR(AM15/((Revenue!AM49*$C$50+Revenue!AM56*$C$57+Revenue!AM63*$C$64)/AM7)*AM9,0)</f>
        <v>0</v>
      </c>
      <c r="AN16" s="24">
        <f>IFERROR(AN15/((Revenue!AN49*$C$50+Revenue!AN56*$C$57+Revenue!AN63*$C$64)/AN7)*AN9,0)</f>
        <v>0</v>
      </c>
      <c r="AO16" s="24">
        <f>IFERROR(AO15/((Revenue!AO49*$C$50+Revenue!AO56*$C$57+Revenue!AO63*$C$64)/AO7)*AO9,0)</f>
        <v>0</v>
      </c>
      <c r="AP16" s="24">
        <f>IFERROR(AP15/((Revenue!AP49*$C$50+Revenue!AP56*$C$57+Revenue!AP63*$C$64)/AP7)*AP9,0)</f>
        <v>0</v>
      </c>
      <c r="AQ16" s="24">
        <f>IFERROR(AQ15/((Revenue!AQ49*$C$50+Revenue!AQ56*$C$57+Revenue!AQ63*$C$64)/AQ7)*AQ9,0)</f>
        <v>0</v>
      </c>
      <c r="AR16" s="24">
        <f>IFERROR(AR15/((Revenue!AR49*$C$50+Revenue!AR56*$C$57+Revenue!AR63*$C$64)/AR7)*AR9,0)</f>
        <v>0</v>
      </c>
      <c r="AS16" s="24">
        <f>IFERROR(AS15/((Revenue!AS49*$C$50+Revenue!AS56*$C$57+Revenue!AS63*$C$64)/AS7)*AS9,0)</f>
        <v>0</v>
      </c>
      <c r="AT16" s="24">
        <f>IFERROR(AT15/((Revenue!AT49*$C$50+Revenue!AT56*$C$57+Revenue!AT63*$C$64)/AT7)*AT9,0)</f>
        <v>0</v>
      </c>
      <c r="AU16" s="24">
        <f>IFERROR(AU15/((Revenue!AU49*$C$50+Revenue!AU56*$C$57+Revenue!AU63*$C$64)/AU7)*AU9,0)</f>
        <v>0</v>
      </c>
      <c r="AV16" s="24">
        <f>IFERROR(AV15/((Revenue!AV49*$C$50+Revenue!AV56*$C$57+Revenue!AV63*$C$64)/AV7)*AV9,0)</f>
        <v>0</v>
      </c>
      <c r="AW16" s="24">
        <f>IFERROR(AW15/((Revenue!AW49*$C$50+Revenue!AW56*$C$57+Revenue!AW63*$C$64)/AW7)*AW9,0)</f>
        <v>0</v>
      </c>
      <c r="AX16" s="24">
        <f>IFERROR(AX15/((Revenue!AX49*$C$50+Revenue!AX56*$C$57+Revenue!AX63*$C$64)/AX7)*AX9,0)</f>
        <v>0</v>
      </c>
      <c r="AY16" s="24">
        <f>IFERROR(AY15/((Revenue!AY49*$C$50+Revenue!AY56*$C$57+Revenue!AY63*$C$64)/AY7)*AY9,0)</f>
        <v>0</v>
      </c>
      <c r="AZ16" s="24">
        <f>IFERROR(AZ15/((Revenue!AZ49*$C$50+Revenue!AZ56*$C$57+Revenue!AZ63*$C$64)/AZ7)*AZ9,0)</f>
        <v>0</v>
      </c>
      <c r="BA16" s="24">
        <f>IFERROR(BA15/((Revenue!BA49*$C$50+Revenue!BA56*$C$57+Revenue!BA63*$C$64)/BA7)*BA9,0)</f>
        <v>0</v>
      </c>
      <c r="BB16" s="24">
        <f>IFERROR(BB15/((Revenue!BB49*$C$50+Revenue!BB56*$C$57+Revenue!BB63*$C$64)/BB7)*BB9,0)</f>
        <v>0</v>
      </c>
      <c r="BC16" s="24">
        <f>IFERROR(BC15/((Revenue!BC49*$C$50+Revenue!BC56*$C$57+Revenue!BC63*$C$64)/BC7)*BC9,0)</f>
        <v>0</v>
      </c>
      <c r="BD16" s="24">
        <f>IFERROR(BD15/((Revenue!BD49*$C$50+Revenue!BD56*$C$57+Revenue!BD63*$C$64)/BD7)*BD9,0)</f>
        <v>0</v>
      </c>
      <c r="BE16" s="24">
        <f>IFERROR(BE15/((Revenue!BE49*$C$50+Revenue!BE56*$C$57+Revenue!BE63*$C$64)/BE7)*BE9,0)</f>
        <v>0</v>
      </c>
      <c r="BF16" s="24">
        <f>IFERROR(BF15/((Revenue!BF49*$C$50+Revenue!BF56*$C$57+Revenue!BF63*$C$64)/BF7)*BF9,0)</f>
        <v>0</v>
      </c>
      <c r="BG16" s="24">
        <f>IFERROR(BG15/((Revenue!BG49*$C$50+Revenue!BG56*$C$57+Revenue!BG63*$C$64)/BG7)*BG9,0)</f>
        <v>0</v>
      </c>
      <c r="BH16" s="24">
        <f>IFERROR(BH15/((Revenue!BH49*$C$50+Revenue!BH56*$C$57+Revenue!BH63*$C$64)/BH7)*BH9,0)</f>
        <v>0</v>
      </c>
      <c r="BI16" s="24">
        <f>IFERROR(BI15/((Revenue!BI49*$C$50+Revenue!BI56*$C$57+Revenue!BI63*$C$64)/BI7)*BI9,0)</f>
        <v>0</v>
      </c>
      <c r="BJ16" s="24">
        <f>IFERROR(BJ15/((Revenue!BJ49*$C$50+Revenue!BJ56*$C$57+Revenue!BJ63*$C$64)/BJ7)*BJ9,0)</f>
        <v>0</v>
      </c>
      <c r="BK16" s="24">
        <f>IFERROR(SUMPRODUCT((YEAR(EDATE(Controls!$B$6,COLUMN($C$1:$BJ$1)-COLUMN($C$1)))=YEAR(Controls!$B$6)+0)*(COLUMN($C$1:$BJ$1)-COLUMN($C$1)&lt;Controls!$B$7)*$C$16:$BJ$16)/SUMPRODUCT((YEAR(EDATE(Controls!$B$6,COLUMN($C$1:$BJ$1)-COLUMN($C$1)))=YEAR(Controls!$B$6)+0)*(COLUMN($C$1:$BJ$1)-COLUMN($C$1)&lt;Controls!$B$7)*1),0)</f>
        <v>0</v>
      </c>
      <c r="BL16" s="24">
        <f>IFERROR(SUMPRODUCT((YEAR(EDATE(Controls!$B$6,COLUMN($C$1:$BJ$1)-COLUMN($C$1)))=YEAR(Controls!$B$6)+1)*(COLUMN($C$1:$BJ$1)-COLUMN($C$1)&lt;Controls!$B$7)*$C$16:$BJ$16)/SUMPRODUCT((YEAR(EDATE(Controls!$B$6,COLUMN($C$1:$BJ$1)-COLUMN($C$1)))=YEAR(Controls!$B$6)+1)*(COLUMN($C$1:$BJ$1)-COLUMN($C$1)&lt;Controls!$B$7)*1),0)</f>
        <v>0</v>
      </c>
      <c r="BM16" s="24">
        <f>IFERROR(SUMPRODUCT((YEAR(EDATE(Controls!$B$6,COLUMN($C$1:$BJ$1)-COLUMN($C$1)))=YEAR(Controls!$B$6)+2)*(COLUMN($C$1:$BJ$1)-COLUMN($C$1)&lt;Controls!$B$7)*$C$16:$BJ$16)/SUMPRODUCT((YEAR(EDATE(Controls!$B$6,COLUMN($C$1:$BJ$1)-COLUMN($C$1)))=YEAR(Controls!$B$6)+2)*(COLUMN($C$1:$BJ$1)-COLUMN($C$1)&lt;Controls!$B$7)*1),0)</f>
        <v>0</v>
      </c>
      <c r="BN16" s="24">
        <f>IFERROR(SUMPRODUCT((YEAR(EDATE(Controls!$B$6,COLUMN($C$1:$BJ$1)-COLUMN($C$1)))=YEAR(Controls!$B$6)+3)*(COLUMN($C$1:$BJ$1)-COLUMN($C$1)&lt;Controls!$B$7)*$C$16:$BJ$16)/SUMPRODUCT((YEAR(EDATE(Controls!$B$6,COLUMN($C$1:$BJ$1)-COLUMN($C$1)))=YEAR(Controls!$B$6)+3)*(COLUMN($C$1:$BJ$1)-COLUMN($C$1)&lt;Controls!$B$7)*1),0)</f>
        <v>0</v>
      </c>
      <c r="BO16" s="24">
        <f>IFERROR(SUMPRODUCT((YEAR(EDATE(Controls!$B$6,COLUMN($C$1:$BJ$1)-COLUMN($C$1)))=YEAR(Controls!$B$6)+4)*(COLUMN($C$1:$BJ$1)-COLUMN($C$1)&lt;Controls!$B$7)*$C$16:$BJ$16)/SUMPRODUCT((YEAR(EDATE(Controls!$B$6,COLUMN($C$1:$BJ$1)-COLUMN($C$1)))=YEAR(Controls!$B$6)+4)*(COLUMN($C$1:$BJ$1)-COLUMN($C$1)&lt;Controls!$B$7)*1),0)</f>
        <v>0</v>
      </c>
      <c r="BP16" s="24">
        <f>IFERROR(SUMPRODUCT((YEAR(EDATE(Controls!$B$6,COLUMN($C$1:$BJ$1)-COLUMN($C$1)))=YEAR(Controls!$B$6)+5)*(COLUMN($C$1:$BJ$1)-COLUMN($C$1)&lt;Controls!$B$7)*$C$16:$BJ$16)/SUMPRODUCT((YEAR(EDATE(Controls!$B$6,COLUMN($C$1:$BJ$1)-COLUMN($C$1)))=YEAR(Controls!$B$6)+5)*(COLUMN($C$1:$BJ$1)-COLUMN($C$1)&lt;Controls!$B$7)*1),0)</f>
        <v>0</v>
      </c>
    </row>
    <row r="17" spans="1:68" x14ac:dyDescent="0.35">
      <c r="A17" s="6" t="s">
        <v>376</v>
      </c>
      <c r="B17" s="20" t="s">
        <v>124</v>
      </c>
      <c r="C17" s="24">
        <f>IFERROR((Revenue!C25+'P&amp;L'!C21)/Revenue!C37,0)</f>
        <v>465.28225806451616</v>
      </c>
      <c r="D17" s="24">
        <f>IFERROR((Revenue!D25+'P&amp;L'!D21)/Revenue!D37,0)</f>
        <v>456.11538461538464</v>
      </c>
      <c r="E17" s="24">
        <f>IFERROR((Revenue!E25+'P&amp;L'!E21)/Revenue!E37,0)</f>
        <v>442.19565217391306</v>
      </c>
      <c r="F17" s="24">
        <f>IFERROR((Revenue!F25+'P&amp;L'!F21)/Revenue!F37,0)</f>
        <v>424.92729729729734</v>
      </c>
      <c r="G17" s="24">
        <f>IFERROR((Revenue!G25+'P&amp;L'!G21)/Revenue!G37,0)</f>
        <v>410.7897417721519</v>
      </c>
      <c r="H17" s="24">
        <f>IFERROR((Revenue!H25+'P&amp;L'!H21)/Revenue!H37,0)</f>
        <v>399.29500914285717</v>
      </c>
      <c r="I17" s="24">
        <f>IFERROR((Revenue!I25+'P&amp;L'!I21)/Revenue!I37,0)</f>
        <v>394.50276397090914</v>
      </c>
      <c r="J17" s="24">
        <f>IFERROR((Revenue!J25+'P&amp;L'!J21)/Revenue!J37,0)</f>
        <v>382.82704987016183</v>
      </c>
      <c r="K17" s="24">
        <f>IFERROR((Revenue!K25+'P&amp;L'!K21)/Revenue!K37,0)</f>
        <v>377.34143538200834</v>
      </c>
      <c r="L17" s="24">
        <f>IFERROR((Revenue!L25+'P&amp;L'!L21)/Revenue!L37,0)</f>
        <v>369.88139305756511</v>
      </c>
      <c r="M17" s="24">
        <f>IFERROR((Revenue!M25+'P&amp;L'!M21)/Revenue!M37,0)</f>
        <v>357.8473448913972</v>
      </c>
      <c r="N17" s="24">
        <f>IFERROR((Revenue!N25+'P&amp;L'!N21)/Revenue!N37,0)</f>
        <v>351.36574975455096</v>
      </c>
      <c r="O17" s="24">
        <f>IFERROR((Revenue!O25+'P&amp;L'!O21)/Revenue!O37,0)</f>
        <v>391.2082769148804</v>
      </c>
      <c r="P17" s="24">
        <f>IFERROR((Revenue!P25+'P&amp;L'!P21)/Revenue!P37,0)</f>
        <v>382.9480537899629</v>
      </c>
      <c r="Q17" s="24">
        <f>IFERROR((Revenue!Q25+'P&amp;L'!Q21)/Revenue!Q37,0)</f>
        <v>376.73906463340273</v>
      </c>
      <c r="R17" s="24">
        <f>IFERROR((Revenue!R25+'P&amp;L'!R21)/Revenue!R37,0)</f>
        <v>367.47347151622694</v>
      </c>
      <c r="S17" s="24">
        <f>IFERROR((Revenue!S25+'P&amp;L'!S21)/Revenue!S37,0)</f>
        <v>360.4980149284745</v>
      </c>
      <c r="T17" s="24">
        <f>IFERROR((Revenue!T25+'P&amp;L'!T21)/Revenue!T37,0)</f>
        <v>355.50248871681305</v>
      </c>
      <c r="U17" s="24">
        <f>IFERROR((Revenue!U25+'P&amp;L'!U21)/Revenue!U37,0)</f>
        <v>350.33665756439865</v>
      </c>
      <c r="V17" s="24">
        <f>IFERROR((Revenue!V25+'P&amp;L'!V21)/Revenue!V37,0)</f>
        <v>343.44548523450402</v>
      </c>
      <c r="W17" s="24">
        <f>IFERROR((Revenue!W25+'P&amp;L'!W21)/Revenue!W37,0)</f>
        <v>340.2455571219765</v>
      </c>
      <c r="X17" s="24">
        <f>IFERROR((Revenue!X25+'P&amp;L'!X21)/Revenue!X37,0)</f>
        <v>337.11750970077719</v>
      </c>
      <c r="Y17" s="24">
        <f>IFERROR((Revenue!Y25+'P&amp;L'!Y21)/Revenue!Y37,0)</f>
        <v>331.37459716747202</v>
      </c>
      <c r="Z17" s="24">
        <f>IFERROR((Revenue!Z25+'P&amp;L'!Z21)/Revenue!Z37,0)</f>
        <v>330.22375577748818</v>
      </c>
      <c r="AA17" s="24">
        <f>IFERROR((Revenue!AA25+'P&amp;L'!AA21)/Revenue!AA37,0)</f>
        <v>354.14157015762515</v>
      </c>
      <c r="AB17" s="24">
        <f>IFERROR((Revenue!AB25+'P&amp;L'!AB21)/Revenue!AB37,0)</f>
        <v>349.60636572192777</v>
      </c>
      <c r="AC17" s="24">
        <f>IFERROR((Revenue!AC25+'P&amp;L'!AC21)/Revenue!AC37,0)</f>
        <v>346.93707252186471</v>
      </c>
      <c r="AD17" s="24">
        <f>IFERROR((Revenue!AD25+'P&amp;L'!AD21)/Revenue!AD37,0)</f>
        <v>342.73892542546702</v>
      </c>
      <c r="AE17" s="24">
        <f>IFERROR((Revenue!AE25+'P&amp;L'!AE21)/Revenue!AE37,0)</f>
        <v>339.43488179252421</v>
      </c>
      <c r="AF17" s="24">
        <f>IFERROR((Revenue!AF25+'P&amp;L'!AF21)/Revenue!AF37,0)</f>
        <v>337.90547019703331</v>
      </c>
      <c r="AG17" s="24">
        <f>IFERROR((Revenue!AG25+'P&amp;L'!AG21)/Revenue!AG37,0)</f>
        <v>334.5425350776124</v>
      </c>
      <c r="AH17" s="24">
        <f>IFERROR((Revenue!AH25+'P&amp;L'!AH21)/Revenue!AH37,0)</f>
        <v>333.00703649761442</v>
      </c>
      <c r="AI17" s="24">
        <f>IFERROR((Revenue!AI25+'P&amp;L'!AI21)/Revenue!AI37,0)</f>
        <v>330.87162961009477</v>
      </c>
      <c r="AJ17" s="24">
        <f>IFERROR((Revenue!AJ25+'P&amp;L'!AJ21)/Revenue!AJ37,0)</f>
        <v>329.75628139393967</v>
      </c>
      <c r="AK17" s="24">
        <f>IFERROR((Revenue!AK25+'P&amp;L'!AK21)/Revenue!AK37,0)</f>
        <v>328.95440752148886</v>
      </c>
      <c r="AL17" s="24">
        <f>IFERROR((Revenue!AL25+'P&amp;L'!AL21)/Revenue!AL37,0)</f>
        <v>327.9301422321272</v>
      </c>
      <c r="AM17" s="24">
        <f>IFERROR((Revenue!AM25+'P&amp;L'!AM21)/Revenue!AM37,0)</f>
        <v>0</v>
      </c>
      <c r="AN17" s="24">
        <f>IFERROR((Revenue!AN25+'P&amp;L'!AN21)/Revenue!AN37,0)</f>
        <v>0</v>
      </c>
      <c r="AO17" s="24">
        <f>IFERROR((Revenue!AO25+'P&amp;L'!AO21)/Revenue!AO37,0)</f>
        <v>0</v>
      </c>
      <c r="AP17" s="24">
        <f>IFERROR((Revenue!AP25+'P&amp;L'!AP21)/Revenue!AP37,0)</f>
        <v>0</v>
      </c>
      <c r="AQ17" s="24">
        <f>IFERROR((Revenue!AQ25+'P&amp;L'!AQ21)/Revenue!AQ37,0)</f>
        <v>0</v>
      </c>
      <c r="AR17" s="24">
        <f>IFERROR((Revenue!AR25+'P&amp;L'!AR21)/Revenue!AR37,0)</f>
        <v>0</v>
      </c>
      <c r="AS17" s="24">
        <f>IFERROR((Revenue!AS25+'P&amp;L'!AS21)/Revenue!AS37,0)</f>
        <v>0</v>
      </c>
      <c r="AT17" s="24">
        <f>IFERROR((Revenue!AT25+'P&amp;L'!AT21)/Revenue!AT37,0)</f>
        <v>0</v>
      </c>
      <c r="AU17" s="24">
        <f>IFERROR((Revenue!AU25+'P&amp;L'!AU21)/Revenue!AU37,0)</f>
        <v>0</v>
      </c>
      <c r="AV17" s="24">
        <f>IFERROR((Revenue!AV25+'P&amp;L'!AV21)/Revenue!AV37,0)</f>
        <v>0</v>
      </c>
      <c r="AW17" s="24">
        <f>IFERROR((Revenue!AW25+'P&amp;L'!AW21)/Revenue!AW37,0)</f>
        <v>0</v>
      </c>
      <c r="AX17" s="24">
        <f>IFERROR((Revenue!AX25+'P&amp;L'!AX21)/Revenue!AX37,0)</f>
        <v>0</v>
      </c>
      <c r="AY17" s="24">
        <f>IFERROR((Revenue!AY25+'P&amp;L'!AY21)/Revenue!AY37,0)</f>
        <v>0</v>
      </c>
      <c r="AZ17" s="24">
        <f>IFERROR((Revenue!AZ25+'P&amp;L'!AZ21)/Revenue!AZ37,0)</f>
        <v>0</v>
      </c>
      <c r="BA17" s="24">
        <f>IFERROR((Revenue!BA25+'P&amp;L'!BA21)/Revenue!BA37,0)</f>
        <v>0</v>
      </c>
      <c r="BB17" s="24">
        <f>IFERROR((Revenue!BB25+'P&amp;L'!BB21)/Revenue!BB37,0)</f>
        <v>0</v>
      </c>
      <c r="BC17" s="24">
        <f>IFERROR((Revenue!BC25+'P&amp;L'!BC21)/Revenue!BC37,0)</f>
        <v>0</v>
      </c>
      <c r="BD17" s="24">
        <f>IFERROR((Revenue!BD25+'P&amp;L'!BD21)/Revenue!BD37,0)</f>
        <v>0</v>
      </c>
      <c r="BE17" s="24">
        <f>IFERROR((Revenue!BE25+'P&amp;L'!BE21)/Revenue!BE37,0)</f>
        <v>0</v>
      </c>
      <c r="BF17" s="24">
        <f>IFERROR((Revenue!BF25+'P&amp;L'!BF21)/Revenue!BF37,0)</f>
        <v>0</v>
      </c>
      <c r="BG17" s="24">
        <f>IFERROR((Revenue!BG25+'P&amp;L'!BG21)/Revenue!BG37,0)</f>
        <v>0</v>
      </c>
      <c r="BH17" s="24">
        <f>IFERROR((Revenue!BH25+'P&amp;L'!BH21)/Revenue!BH37,0)</f>
        <v>0</v>
      </c>
      <c r="BI17" s="24">
        <f>IFERROR((Revenue!BI25+'P&amp;L'!BI21)/Revenue!BI37,0)</f>
        <v>0</v>
      </c>
      <c r="BJ17" s="24">
        <f>IFERROR((Revenue!BJ25+'P&amp;L'!BJ21)/Revenue!BJ37,0)</f>
        <v>0</v>
      </c>
      <c r="BK17" s="24">
        <f>IFERROR(SUMPRODUCT((YEAR(EDATE(Controls!$B$6,COLUMN($C$1:$BJ$1)-COLUMN($C$1)))=YEAR(Controls!$B$6)+0)*(COLUMN($C$1:$BJ$1)-COLUMN($C$1)&lt;Controls!$B$7)*$C$17:$BJ$17)/SUMPRODUCT((YEAR(EDATE(Controls!$B$6,COLUMN($C$1:$BJ$1)-COLUMN($C$1)))=YEAR(Controls!$B$6)+0)*(COLUMN($C$1:$BJ$1)-COLUMN($C$1)&lt;Controls!$B$7)*1),0)</f>
        <v>402.69758999939273</v>
      </c>
      <c r="BL17" s="24">
        <f>IFERROR(SUMPRODUCT((YEAR(EDATE(Controls!$B$6,COLUMN($C$1:$BJ$1)-COLUMN($C$1)))=YEAR(Controls!$B$6)+1)*(COLUMN($C$1:$BJ$1)-COLUMN($C$1)&lt;Controls!$B$7)*$C$17:$BJ$17)/SUMPRODUCT((YEAR(EDATE(Controls!$B$6,COLUMN($C$1:$BJ$1)-COLUMN($C$1)))=YEAR(Controls!$B$6)+1)*(COLUMN($C$1:$BJ$1)-COLUMN($C$1)&lt;Controls!$B$7)*1),0)</f>
        <v>355.59274442219811</v>
      </c>
      <c r="BM17" s="24">
        <f>IFERROR(SUMPRODUCT((YEAR(EDATE(Controls!$B$6,COLUMN($C$1:$BJ$1)-COLUMN($C$1)))=YEAR(Controls!$B$6)+2)*(COLUMN($C$1:$BJ$1)-COLUMN($C$1)&lt;Controls!$B$7)*$C$17:$BJ$17)/SUMPRODUCT((YEAR(EDATE(Controls!$B$6,COLUMN($C$1:$BJ$1)-COLUMN($C$1)))=YEAR(Controls!$B$6)+2)*(COLUMN($C$1:$BJ$1)-COLUMN($C$1)&lt;Controls!$B$7)*1),0)</f>
        <v>337.9855265124433</v>
      </c>
      <c r="BN17" s="24">
        <f>IFERROR(SUMPRODUCT((YEAR(EDATE(Controls!$B$6,COLUMN($C$1:$BJ$1)-COLUMN($C$1)))=YEAR(Controls!$B$6)+3)*(COLUMN($C$1:$BJ$1)-COLUMN($C$1)&lt;Controls!$B$7)*$C$17:$BJ$17)/SUMPRODUCT((YEAR(EDATE(Controls!$B$6,COLUMN($C$1:$BJ$1)-COLUMN($C$1)))=YEAR(Controls!$B$6)+3)*(COLUMN($C$1:$BJ$1)-COLUMN($C$1)&lt;Controls!$B$7)*1),0)</f>
        <v>0</v>
      </c>
      <c r="BO17" s="24">
        <f>IFERROR(SUMPRODUCT((YEAR(EDATE(Controls!$B$6,COLUMN($C$1:$BJ$1)-COLUMN($C$1)))=YEAR(Controls!$B$6)+4)*(COLUMN($C$1:$BJ$1)-COLUMN($C$1)&lt;Controls!$B$7)*$C$17:$BJ$17)/SUMPRODUCT((YEAR(EDATE(Controls!$B$6,COLUMN($C$1:$BJ$1)-COLUMN($C$1)))=YEAR(Controls!$B$6)+4)*(COLUMN($C$1:$BJ$1)-COLUMN($C$1)&lt;Controls!$B$7)*1),0)</f>
        <v>0</v>
      </c>
      <c r="BP17" s="24">
        <f>IFERROR(SUMPRODUCT((YEAR(EDATE(Controls!$B$6,COLUMN($C$1:$BJ$1)-COLUMN($C$1)))=YEAR(Controls!$B$6)+5)*(COLUMN($C$1:$BJ$1)-COLUMN($C$1)&lt;Controls!$B$7)*$C$17:$BJ$17)/SUMPRODUCT((YEAR(EDATE(Controls!$B$6,COLUMN($C$1:$BJ$1)-COLUMN($C$1)))=YEAR(Controls!$B$6)+5)*(COLUMN($C$1:$BJ$1)-COLUMN($C$1)&lt;Controls!$B$7)*1),0)</f>
        <v>0</v>
      </c>
    </row>
    <row r="18" spans="1:68" x14ac:dyDescent="0.35">
      <c r="A18" s="6" t="s">
        <v>377</v>
      </c>
      <c r="B18" s="20" t="s">
        <v>136</v>
      </c>
      <c r="C18" s="41">
        <f t="shared" ref="C18:AH18" si="2">IFERROR(C16/C17,0)</f>
        <v>0</v>
      </c>
      <c r="D18" s="41">
        <f t="shared" si="2"/>
        <v>0</v>
      </c>
      <c r="E18" s="41">
        <f t="shared" si="2"/>
        <v>0</v>
      </c>
      <c r="F18" s="41">
        <f t="shared" si="2"/>
        <v>0</v>
      </c>
      <c r="G18" s="41">
        <f t="shared" si="2"/>
        <v>0</v>
      </c>
      <c r="H18" s="41">
        <f t="shared" si="2"/>
        <v>0</v>
      </c>
      <c r="I18" s="41">
        <f t="shared" si="2"/>
        <v>0</v>
      </c>
      <c r="J18" s="41">
        <f t="shared" si="2"/>
        <v>0</v>
      </c>
      <c r="K18" s="41">
        <f t="shared" si="2"/>
        <v>0</v>
      </c>
      <c r="L18" s="41">
        <f t="shared" si="2"/>
        <v>0</v>
      </c>
      <c r="M18" s="41">
        <f t="shared" si="2"/>
        <v>0</v>
      </c>
      <c r="N18" s="41">
        <f t="shared" si="2"/>
        <v>0</v>
      </c>
      <c r="O18" s="41">
        <f t="shared" si="2"/>
        <v>0</v>
      </c>
      <c r="P18" s="41">
        <f t="shared" si="2"/>
        <v>0</v>
      </c>
      <c r="Q18" s="41">
        <f t="shared" si="2"/>
        <v>0</v>
      </c>
      <c r="R18" s="41">
        <f t="shared" si="2"/>
        <v>0</v>
      </c>
      <c r="S18" s="41">
        <f t="shared" si="2"/>
        <v>0</v>
      </c>
      <c r="T18" s="41">
        <f t="shared" si="2"/>
        <v>0</v>
      </c>
      <c r="U18" s="41">
        <f t="shared" si="2"/>
        <v>0</v>
      </c>
      <c r="V18" s="41">
        <f t="shared" si="2"/>
        <v>0</v>
      </c>
      <c r="W18" s="41">
        <f t="shared" si="2"/>
        <v>0</v>
      </c>
      <c r="X18" s="41">
        <f t="shared" si="2"/>
        <v>0</v>
      </c>
      <c r="Y18" s="41">
        <f t="shared" si="2"/>
        <v>0</v>
      </c>
      <c r="Z18" s="41">
        <f t="shared" si="2"/>
        <v>0</v>
      </c>
      <c r="AA18" s="41">
        <f t="shared" si="2"/>
        <v>0</v>
      </c>
      <c r="AB18" s="41">
        <f t="shared" si="2"/>
        <v>0</v>
      </c>
      <c r="AC18" s="41">
        <f t="shared" si="2"/>
        <v>0</v>
      </c>
      <c r="AD18" s="41">
        <f t="shared" si="2"/>
        <v>0</v>
      </c>
      <c r="AE18" s="41">
        <f t="shared" si="2"/>
        <v>0</v>
      </c>
      <c r="AF18" s="41">
        <f t="shared" si="2"/>
        <v>0</v>
      </c>
      <c r="AG18" s="41">
        <f t="shared" si="2"/>
        <v>0</v>
      </c>
      <c r="AH18" s="41">
        <f t="shared" si="2"/>
        <v>0</v>
      </c>
      <c r="AI18" s="41">
        <f t="shared" ref="AI18:BJ18" si="3">IFERROR(AI16/AI17,0)</f>
        <v>0</v>
      </c>
      <c r="AJ18" s="41">
        <f t="shared" si="3"/>
        <v>0</v>
      </c>
      <c r="AK18" s="41">
        <f t="shared" si="3"/>
        <v>0</v>
      </c>
      <c r="AL18" s="41">
        <f t="shared" si="3"/>
        <v>0</v>
      </c>
      <c r="AM18" s="41">
        <f t="shared" si="3"/>
        <v>0</v>
      </c>
      <c r="AN18" s="41">
        <f t="shared" si="3"/>
        <v>0</v>
      </c>
      <c r="AO18" s="41">
        <f t="shared" si="3"/>
        <v>0</v>
      </c>
      <c r="AP18" s="41">
        <f t="shared" si="3"/>
        <v>0</v>
      </c>
      <c r="AQ18" s="41">
        <f t="shared" si="3"/>
        <v>0</v>
      </c>
      <c r="AR18" s="41">
        <f t="shared" si="3"/>
        <v>0</v>
      </c>
      <c r="AS18" s="41">
        <f t="shared" si="3"/>
        <v>0</v>
      </c>
      <c r="AT18" s="41">
        <f t="shared" si="3"/>
        <v>0</v>
      </c>
      <c r="AU18" s="41">
        <f t="shared" si="3"/>
        <v>0</v>
      </c>
      <c r="AV18" s="41">
        <f t="shared" si="3"/>
        <v>0</v>
      </c>
      <c r="AW18" s="41">
        <f t="shared" si="3"/>
        <v>0</v>
      </c>
      <c r="AX18" s="41">
        <f t="shared" si="3"/>
        <v>0</v>
      </c>
      <c r="AY18" s="41">
        <f t="shared" si="3"/>
        <v>0</v>
      </c>
      <c r="AZ18" s="41">
        <f t="shared" si="3"/>
        <v>0</v>
      </c>
      <c r="BA18" s="41">
        <f t="shared" si="3"/>
        <v>0</v>
      </c>
      <c r="BB18" s="41">
        <f t="shared" si="3"/>
        <v>0</v>
      </c>
      <c r="BC18" s="41">
        <f t="shared" si="3"/>
        <v>0</v>
      </c>
      <c r="BD18" s="41">
        <f t="shared" si="3"/>
        <v>0</v>
      </c>
      <c r="BE18" s="41">
        <f t="shared" si="3"/>
        <v>0</v>
      </c>
      <c r="BF18" s="41">
        <f t="shared" si="3"/>
        <v>0</v>
      </c>
      <c r="BG18" s="41">
        <f t="shared" si="3"/>
        <v>0</v>
      </c>
      <c r="BH18" s="41">
        <f t="shared" si="3"/>
        <v>0</v>
      </c>
      <c r="BI18" s="41">
        <f t="shared" si="3"/>
        <v>0</v>
      </c>
      <c r="BJ18" s="41">
        <f t="shared" si="3"/>
        <v>0</v>
      </c>
      <c r="BK18" s="41">
        <f>IFERROR(SUMPRODUCT((YEAR(EDATE(Controls!$B$6,COLUMN($C$1:$BJ$1)-COLUMN($C$1)))=YEAR(Controls!$B$6)+0)*(COLUMN($C$1:$BJ$1)-COLUMN($C$1)&lt;Controls!$B$7)*$C$18:$BJ$18)/SUMPRODUCT((YEAR(EDATE(Controls!$B$6,COLUMN($C$1:$BJ$1)-COLUMN($C$1)))=YEAR(Controls!$B$6)+0)*(COLUMN($C$1:$BJ$1)-COLUMN($C$1)&lt;Controls!$B$7)*1),0)</f>
        <v>0</v>
      </c>
      <c r="BL18" s="41">
        <f>IFERROR(SUMPRODUCT((YEAR(EDATE(Controls!$B$6,COLUMN($C$1:$BJ$1)-COLUMN($C$1)))=YEAR(Controls!$B$6)+1)*(COLUMN($C$1:$BJ$1)-COLUMN($C$1)&lt;Controls!$B$7)*$C$18:$BJ$18)/SUMPRODUCT((YEAR(EDATE(Controls!$B$6,COLUMN($C$1:$BJ$1)-COLUMN($C$1)))=YEAR(Controls!$B$6)+1)*(COLUMN($C$1:$BJ$1)-COLUMN($C$1)&lt;Controls!$B$7)*1),0)</f>
        <v>0</v>
      </c>
      <c r="BM18" s="41">
        <f>IFERROR(SUMPRODUCT((YEAR(EDATE(Controls!$B$6,COLUMN($C$1:$BJ$1)-COLUMN($C$1)))=YEAR(Controls!$B$6)+2)*(COLUMN($C$1:$BJ$1)-COLUMN($C$1)&lt;Controls!$B$7)*$C$18:$BJ$18)/SUMPRODUCT((YEAR(EDATE(Controls!$B$6,COLUMN($C$1:$BJ$1)-COLUMN($C$1)))=YEAR(Controls!$B$6)+2)*(COLUMN($C$1:$BJ$1)-COLUMN($C$1)&lt;Controls!$B$7)*1),0)</f>
        <v>0</v>
      </c>
      <c r="BN18" s="41">
        <f>IFERROR(SUMPRODUCT((YEAR(EDATE(Controls!$B$6,COLUMN($C$1:$BJ$1)-COLUMN($C$1)))=YEAR(Controls!$B$6)+3)*(COLUMN($C$1:$BJ$1)-COLUMN($C$1)&lt;Controls!$B$7)*$C$18:$BJ$18)/SUMPRODUCT((YEAR(EDATE(Controls!$B$6,COLUMN($C$1:$BJ$1)-COLUMN($C$1)))=YEAR(Controls!$B$6)+3)*(COLUMN($C$1:$BJ$1)-COLUMN($C$1)&lt;Controls!$B$7)*1),0)</f>
        <v>0</v>
      </c>
      <c r="BO18" s="41">
        <f>IFERROR(SUMPRODUCT((YEAR(EDATE(Controls!$B$6,COLUMN($C$1:$BJ$1)-COLUMN($C$1)))=YEAR(Controls!$B$6)+4)*(COLUMN($C$1:$BJ$1)-COLUMN($C$1)&lt;Controls!$B$7)*$C$18:$BJ$18)/SUMPRODUCT((YEAR(EDATE(Controls!$B$6,COLUMN($C$1:$BJ$1)-COLUMN($C$1)))=YEAR(Controls!$B$6)+4)*(COLUMN($C$1:$BJ$1)-COLUMN($C$1)&lt;Controls!$B$7)*1),0)</f>
        <v>0</v>
      </c>
      <c r="BP18" s="41">
        <f>IFERROR(SUMPRODUCT((YEAR(EDATE(Controls!$B$6,COLUMN($C$1:$BJ$1)-COLUMN($C$1)))=YEAR(Controls!$B$6)+5)*(COLUMN($C$1:$BJ$1)-COLUMN($C$1)&lt;Controls!$B$7)*$C$18:$BJ$18)/SUMPRODUCT((YEAR(EDATE(Controls!$B$6,COLUMN($C$1:$BJ$1)-COLUMN($C$1)))=YEAR(Controls!$B$6)+5)*(COLUMN($C$1:$BJ$1)-COLUMN($C$1)&lt;Controls!$B$7)*1),0)</f>
        <v>0</v>
      </c>
    </row>
    <row r="19" spans="1:68" x14ac:dyDescent="0.35">
      <c r="A19" s="6" t="s">
        <v>378</v>
      </c>
      <c r="B19" s="20" t="s">
        <v>301</v>
      </c>
      <c r="C19" s="26">
        <f t="shared" ref="C19:AH19" si="4">IFERROR(C17/(C15*C9),0)</f>
        <v>-24.305767725585543</v>
      </c>
      <c r="D19" s="26">
        <f t="shared" si="4"/>
        <v>9.2089547925856099</v>
      </c>
      <c r="E19" s="26">
        <f t="shared" si="4"/>
        <v>5.6160589775356549</v>
      </c>
      <c r="F19" s="26">
        <f t="shared" si="4"/>
        <v>4.5144736526435549</v>
      </c>
      <c r="G19" s="26">
        <f t="shared" si="4"/>
        <v>3.9432021823090317</v>
      </c>
      <c r="H19" s="26">
        <f t="shared" si="4"/>
        <v>3.6092967360836767</v>
      </c>
      <c r="I19" s="26">
        <f t="shared" si="4"/>
        <v>3.411231872842301</v>
      </c>
      <c r="J19" s="26">
        <f t="shared" si="4"/>
        <v>3.2231714306550336</v>
      </c>
      <c r="K19" s="26">
        <f t="shared" si="4"/>
        <v>3.1039056649887287</v>
      </c>
      <c r="L19" s="26">
        <f t="shared" si="4"/>
        <v>2.9785707610652219</v>
      </c>
      <c r="M19" s="26">
        <f t="shared" si="4"/>
        <v>2.8394538739033002</v>
      </c>
      <c r="N19" s="26">
        <f t="shared" si="4"/>
        <v>2.7464098420327634</v>
      </c>
      <c r="O19" s="26">
        <f t="shared" si="4"/>
        <v>3.0365094116872244</v>
      </c>
      <c r="P19" s="26">
        <f t="shared" si="4"/>
        <v>2.9324032040288959</v>
      </c>
      <c r="Q19" s="26">
        <f t="shared" si="4"/>
        <v>2.852399317282718</v>
      </c>
      <c r="R19" s="26">
        <f t="shared" si="4"/>
        <v>2.7548054879521691</v>
      </c>
      <c r="S19" s="26">
        <f t="shared" si="4"/>
        <v>2.6806428513611613</v>
      </c>
      <c r="T19" s="26">
        <f t="shared" si="4"/>
        <v>2.6228294716105491</v>
      </c>
      <c r="U19" s="26">
        <f t="shared" si="4"/>
        <v>2.5653977708575524</v>
      </c>
      <c r="V19" s="26">
        <f t="shared" si="4"/>
        <v>2.4940495495021939</v>
      </c>
      <c r="W19" s="26">
        <f t="shared" si="4"/>
        <v>2.4519796360891375</v>
      </c>
      <c r="X19" s="26">
        <f t="shared" si="4"/>
        <v>2.4114411930802659</v>
      </c>
      <c r="Y19" s="26">
        <f t="shared" si="4"/>
        <v>2.3565698439658251</v>
      </c>
      <c r="Z19" s="26">
        <f t="shared" si="4"/>
        <v>2.3341212421865345</v>
      </c>
      <c r="AA19" s="26">
        <f t="shared" si="4"/>
        <v>2.4939175581039037</v>
      </c>
      <c r="AB19" s="26">
        <f t="shared" si="4"/>
        <v>2.4472204695167181</v>
      </c>
      <c r="AC19" s="26">
        <f t="shared" si="4"/>
        <v>2.4132876727507262</v>
      </c>
      <c r="AD19" s="26">
        <f t="shared" si="4"/>
        <v>2.3720596091923865</v>
      </c>
      <c r="AE19" s="26">
        <f t="shared" si="4"/>
        <v>2.337398734043191</v>
      </c>
      <c r="AF19" s="26">
        <f t="shared" si="4"/>
        <v>2.3160158378468738</v>
      </c>
      <c r="AG19" s="26">
        <f t="shared" si="4"/>
        <v>2.2829487299365212</v>
      </c>
      <c r="AH19" s="26">
        <f t="shared" si="4"/>
        <v>2.2634095474914653</v>
      </c>
      <c r="AI19" s="26">
        <f t="shared" ref="AI19:BJ19" si="5">IFERROR(AI17/(AI15*AI9),0)</f>
        <v>2.2395941418689258</v>
      </c>
      <c r="AJ19" s="26">
        <f t="shared" si="5"/>
        <v>2.2243230374096319</v>
      </c>
      <c r="AK19" s="26">
        <f t="shared" si="5"/>
        <v>2.2110679503098645</v>
      </c>
      <c r="AL19" s="26">
        <f t="shared" si="5"/>
        <v>2.196710261202937</v>
      </c>
      <c r="AM19" s="26">
        <f t="shared" si="5"/>
        <v>0</v>
      </c>
      <c r="AN19" s="26">
        <f t="shared" si="5"/>
        <v>0</v>
      </c>
      <c r="AO19" s="26">
        <f t="shared" si="5"/>
        <v>0</v>
      </c>
      <c r="AP19" s="26">
        <f t="shared" si="5"/>
        <v>0</v>
      </c>
      <c r="AQ19" s="26">
        <f t="shared" si="5"/>
        <v>0</v>
      </c>
      <c r="AR19" s="26">
        <f t="shared" si="5"/>
        <v>0</v>
      </c>
      <c r="AS19" s="26">
        <f t="shared" si="5"/>
        <v>0</v>
      </c>
      <c r="AT19" s="26">
        <f t="shared" si="5"/>
        <v>0</v>
      </c>
      <c r="AU19" s="26">
        <f t="shared" si="5"/>
        <v>0</v>
      </c>
      <c r="AV19" s="26">
        <f t="shared" si="5"/>
        <v>0</v>
      </c>
      <c r="AW19" s="26">
        <f t="shared" si="5"/>
        <v>0</v>
      </c>
      <c r="AX19" s="26">
        <f t="shared" si="5"/>
        <v>0</v>
      </c>
      <c r="AY19" s="26">
        <f t="shared" si="5"/>
        <v>0</v>
      </c>
      <c r="AZ19" s="26">
        <f t="shared" si="5"/>
        <v>0</v>
      </c>
      <c r="BA19" s="26">
        <f t="shared" si="5"/>
        <v>0</v>
      </c>
      <c r="BB19" s="26">
        <f t="shared" si="5"/>
        <v>0</v>
      </c>
      <c r="BC19" s="26">
        <f t="shared" si="5"/>
        <v>0</v>
      </c>
      <c r="BD19" s="26">
        <f t="shared" si="5"/>
        <v>0</v>
      </c>
      <c r="BE19" s="26">
        <f t="shared" si="5"/>
        <v>0</v>
      </c>
      <c r="BF19" s="26">
        <f t="shared" si="5"/>
        <v>0</v>
      </c>
      <c r="BG19" s="26">
        <f t="shared" si="5"/>
        <v>0</v>
      </c>
      <c r="BH19" s="26">
        <f t="shared" si="5"/>
        <v>0</v>
      </c>
      <c r="BI19" s="26">
        <f t="shared" si="5"/>
        <v>0</v>
      </c>
      <c r="BJ19" s="26">
        <f t="shared" si="5"/>
        <v>0</v>
      </c>
      <c r="BK19" s="26">
        <f>IFERROR(SUMPRODUCT((YEAR(EDATE(Controls!$B$6,COLUMN($C$1:$BJ$1)-COLUMN($C$1)))=YEAR(Controls!$B$6)+0)*(COLUMN($C$1:$BJ$1)-COLUMN($C$1)&lt;Controls!$B$7)*$C$19:$BJ$19)/SUMPRODUCT((YEAR(EDATE(Controls!$B$6,COLUMN($C$1:$BJ$1)-COLUMN($C$1)))=YEAR(Controls!$B$6)+0)*(COLUMN($C$1:$BJ$1)-COLUMN($C$1)&lt;Controls!$B$7)*1),0)</f>
        <v>1.7407468384216109</v>
      </c>
      <c r="BL19" s="26">
        <f>IFERROR(SUMPRODUCT((YEAR(EDATE(Controls!$B$6,COLUMN($C$1:$BJ$1)-COLUMN($C$1)))=YEAR(Controls!$B$6)+1)*(COLUMN($C$1:$BJ$1)-COLUMN($C$1)&lt;Controls!$B$7)*$C$19:$BJ$19)/SUMPRODUCT((YEAR(EDATE(Controls!$B$6,COLUMN($C$1:$BJ$1)-COLUMN($C$1)))=YEAR(Controls!$B$6)+1)*(COLUMN($C$1:$BJ$1)-COLUMN($C$1)&lt;Controls!$B$7)*1),0)</f>
        <v>2.6244290816336853</v>
      </c>
      <c r="BM19" s="26">
        <f>IFERROR(SUMPRODUCT((YEAR(EDATE(Controls!$B$6,COLUMN($C$1:$BJ$1)-COLUMN($C$1)))=YEAR(Controls!$B$6)+2)*(COLUMN($C$1:$BJ$1)-COLUMN($C$1)&lt;Controls!$B$7)*$C$19:$BJ$19)/SUMPRODUCT((YEAR(EDATE(Controls!$B$6,COLUMN($C$1:$BJ$1)-COLUMN($C$1)))=YEAR(Controls!$B$6)+2)*(COLUMN($C$1:$BJ$1)-COLUMN($C$1)&lt;Controls!$B$7)*1),0)</f>
        <v>2.3164961291394293</v>
      </c>
      <c r="BN19" s="26">
        <f>IFERROR(SUMPRODUCT((YEAR(EDATE(Controls!$B$6,COLUMN($C$1:$BJ$1)-COLUMN($C$1)))=YEAR(Controls!$B$6)+3)*(COLUMN($C$1:$BJ$1)-COLUMN($C$1)&lt;Controls!$B$7)*$C$19:$BJ$19)/SUMPRODUCT((YEAR(EDATE(Controls!$B$6,COLUMN($C$1:$BJ$1)-COLUMN($C$1)))=YEAR(Controls!$B$6)+3)*(COLUMN($C$1:$BJ$1)-COLUMN($C$1)&lt;Controls!$B$7)*1),0)</f>
        <v>0</v>
      </c>
      <c r="BO19" s="26">
        <f>IFERROR(SUMPRODUCT((YEAR(EDATE(Controls!$B$6,COLUMN($C$1:$BJ$1)-COLUMN($C$1)))=YEAR(Controls!$B$6)+4)*(COLUMN($C$1:$BJ$1)-COLUMN($C$1)&lt;Controls!$B$7)*$C$19:$BJ$19)/SUMPRODUCT((YEAR(EDATE(Controls!$B$6,COLUMN($C$1:$BJ$1)-COLUMN($C$1)))=YEAR(Controls!$B$6)+4)*(COLUMN($C$1:$BJ$1)-COLUMN($C$1)&lt;Controls!$B$7)*1),0)</f>
        <v>0</v>
      </c>
      <c r="BP19" s="26">
        <f>IFERROR(SUMPRODUCT((YEAR(EDATE(Controls!$B$6,COLUMN($C$1:$BJ$1)-COLUMN($C$1)))=YEAR(Controls!$B$6)+5)*(COLUMN($C$1:$BJ$1)-COLUMN($C$1)&lt;Controls!$B$7)*$C$19:$BJ$19)/SUMPRODUCT((YEAR(EDATE(Controls!$B$6,COLUMN($C$1:$BJ$1)-COLUMN($C$1)))=YEAR(Controls!$B$6)+5)*(COLUMN($C$1:$BJ$1)-COLUMN($C$1)&lt;Controls!$B$7)*1),0)</f>
        <v>0</v>
      </c>
    </row>
    <row r="20" spans="1:68" x14ac:dyDescent="0.35">
      <c r="A20" s="6" t="s">
        <v>379</v>
      </c>
      <c r="B20" s="20" t="s">
        <v>136</v>
      </c>
      <c r="C20" s="41">
        <f>0</f>
        <v>0</v>
      </c>
      <c r="D20" s="41">
        <f>0</f>
        <v>0</v>
      </c>
      <c r="E20" s="41">
        <f>0</f>
        <v>0</v>
      </c>
      <c r="F20" s="41">
        <f>IFERROR((Revenue!F92-Revenue!C92)/('P&amp;L'!E25+'P&amp;L'!D25+'P&amp;L'!C25),0)</f>
        <v>3.403983692994363</v>
      </c>
      <c r="G20" s="41">
        <f>IFERROR((Revenue!G92-Revenue!D92)/('P&amp;L'!F25+'P&amp;L'!E25+'P&amp;L'!D25),0)</f>
        <v>3.5697708014038274</v>
      </c>
      <c r="H20" s="41">
        <f>IFERROR((Revenue!H92-Revenue!E92)/('P&amp;L'!G25+'P&amp;L'!F25+'P&amp;L'!E25),0)</f>
        <v>3.7635027798225686</v>
      </c>
      <c r="I20" s="41">
        <f>IFERROR((Revenue!I92-Revenue!F92)/('P&amp;L'!H25+'P&amp;L'!G25+'P&amp;L'!F25),0)</f>
        <v>4.01188563560296</v>
      </c>
      <c r="J20" s="41">
        <f>IFERROR((Revenue!J92-Revenue!G92)/('P&amp;L'!I25+'P&amp;L'!H25+'P&amp;L'!G25),0)</f>
        <v>4.1448532149961457</v>
      </c>
      <c r="K20" s="41">
        <f>IFERROR((Revenue!K92-Revenue!H92)/('P&amp;L'!J25+'P&amp;L'!I25+'P&amp;L'!H25),0)</f>
        <v>4.3447302407054034</v>
      </c>
      <c r="L20" s="41">
        <f>IFERROR((Revenue!L92-Revenue!I92)/('P&amp;L'!K25+'P&amp;L'!J25+'P&amp;L'!I25),0)</f>
        <v>4.5860214803174513</v>
      </c>
      <c r="M20" s="41">
        <f>IFERROR((Revenue!M92-Revenue!J92)/('P&amp;L'!L25+'P&amp;L'!K25+'P&amp;L'!J25),0)</f>
        <v>4.8952969134368916</v>
      </c>
      <c r="N20" s="41">
        <f>IFERROR((Revenue!N92-Revenue!K92)/('P&amp;L'!M25+'P&amp;L'!L25+'P&amp;L'!K25),0)</f>
        <v>5.2276433001620655</v>
      </c>
      <c r="O20" s="41">
        <f>IFERROR((Revenue!O92-Revenue!L92)/('P&amp;L'!N25+'P&amp;L'!M25+'P&amp;L'!L25),0)</f>
        <v>5.543982910135318</v>
      </c>
      <c r="P20" s="41">
        <f>IFERROR((Revenue!P92-Revenue!M92)/('P&amp;L'!O25+'P&amp;L'!N25+'P&amp;L'!M25),0)</f>
        <v>5.3952889284645131</v>
      </c>
      <c r="Q20" s="41">
        <f>IFERROR((Revenue!Q92-Revenue!N92)/('P&amp;L'!P25+'P&amp;L'!O25+'P&amp;L'!N25),0)</f>
        <v>5.2115728207895016</v>
      </c>
      <c r="R20" s="41">
        <f>IFERROR((Revenue!R92-Revenue!O92)/('P&amp;L'!Q25+'P&amp;L'!P25+'P&amp;L'!O25),0)</f>
        <v>5.08505195100485</v>
      </c>
      <c r="S20" s="41">
        <f>IFERROR((Revenue!S92-Revenue!P92)/('P&amp;L'!R25+'P&amp;L'!Q25+'P&amp;L'!P25),0)</f>
        <v>5.3169596036510374</v>
      </c>
      <c r="T20" s="41">
        <f>IFERROR((Revenue!T92-Revenue!Q92)/('P&amp;L'!S25+'P&amp;L'!R25+'P&amp;L'!Q25),0)</f>
        <v>5.6356799107502944</v>
      </c>
      <c r="U20" s="41">
        <f>IFERROR((Revenue!U92-Revenue!R92)/('P&amp;L'!T25+'P&amp;L'!S25+'P&amp;L'!R25),0)</f>
        <v>5.9528095417490201</v>
      </c>
      <c r="V20" s="41">
        <f>IFERROR((Revenue!V92-Revenue!S92)/('P&amp;L'!U25+'P&amp;L'!T25+'P&amp;L'!S25),0)</f>
        <v>6.39767725277345</v>
      </c>
      <c r="W20" s="41">
        <f>IFERROR((Revenue!W92-Revenue!T92)/('P&amp;L'!V25+'P&amp;L'!U25+'P&amp;L'!T25),0)</f>
        <v>6.8475704568694713</v>
      </c>
      <c r="X20" s="41">
        <f>IFERROR((Revenue!X92-Revenue!U92)/('P&amp;L'!W25+'P&amp;L'!V25+'P&amp;L'!U25),0)</f>
        <v>7.3272369401119519</v>
      </c>
      <c r="Y20" s="41">
        <f>IFERROR((Revenue!Y92-Revenue!V92)/('P&amp;L'!X25+'P&amp;L'!W25+'P&amp;L'!V25),0)</f>
        <v>7.7721532754304272</v>
      </c>
      <c r="Z20" s="41">
        <f>IFERROR((Revenue!Z92-Revenue!W92)/('P&amp;L'!Y25+'P&amp;L'!X25+'P&amp;L'!W25),0)</f>
        <v>8.2366509495884674</v>
      </c>
      <c r="AA20" s="41">
        <f>IFERROR((Revenue!AA92-Revenue!X92)/('P&amp;L'!Z25+'P&amp;L'!Y25+'P&amp;L'!X25),0)</f>
        <v>8.765676364349984</v>
      </c>
      <c r="AB20" s="41">
        <f>IFERROR((Revenue!AB92-Revenue!Y92)/('P&amp;L'!AA25+'P&amp;L'!Z25+'P&amp;L'!Y25),0)</f>
        <v>8.4640606526988655</v>
      </c>
      <c r="AC20" s="41">
        <f>IFERROR((Revenue!AC92-Revenue!Z92)/('P&amp;L'!AB25+'P&amp;L'!AA25+'P&amp;L'!Z25),0)</f>
        <v>8.2863857762875703</v>
      </c>
      <c r="AD20" s="41">
        <f>IFERROR((Revenue!AD92-Revenue!AA92)/('P&amp;L'!AC25+'P&amp;L'!AB25+'P&amp;L'!AA25),0)</f>
        <v>8.1241238230725408</v>
      </c>
      <c r="AE20" s="41">
        <f>IFERROR((Revenue!AE92-Revenue!AB92)/('P&amp;L'!AD25+'P&amp;L'!AC25+'P&amp;L'!AB25),0)</f>
        <v>8.6509641755735167</v>
      </c>
      <c r="AF20" s="41">
        <f>IFERROR((Revenue!AF92-Revenue!AC92)/('P&amp;L'!AE25+'P&amp;L'!AD25+'P&amp;L'!AC25),0)</f>
        <v>9.1908645300705665</v>
      </c>
      <c r="AG20" s="41">
        <f>IFERROR((Revenue!AG92-Revenue!AD92)/('P&amp;L'!AF25+'P&amp;L'!AE25+'P&amp;L'!AD25),0)</f>
        <v>9.804297637556223</v>
      </c>
      <c r="AH20" s="41">
        <f>IFERROR((Revenue!AH92-Revenue!AE92)/('P&amp;L'!AG25+'P&amp;L'!AF25+'P&amp;L'!AE25),0)</f>
        <v>10.450612198400114</v>
      </c>
      <c r="AI20" s="41">
        <f>IFERROR((Revenue!AI92-Revenue!AF92)/('P&amp;L'!AH25+'P&amp;L'!AG25+'P&amp;L'!AF25),0)</f>
        <v>11.164021306765989</v>
      </c>
      <c r="AJ20" s="41">
        <f>IFERROR((Revenue!AJ92-Revenue!AG92)/('P&amp;L'!AI25+'P&amp;L'!AH25+'P&amp;L'!AG25),0)</f>
        <v>11.892530138666928</v>
      </c>
      <c r="AK20" s="41">
        <f>IFERROR((Revenue!AK92-Revenue!AH92)/('P&amp;L'!AJ25+'P&amp;L'!AI25+'P&amp;L'!AH25),0)</f>
        <v>12.68906275207217</v>
      </c>
      <c r="AL20" s="41">
        <f>IFERROR((Revenue!AL92-Revenue!AI92)/('P&amp;L'!AK25+'P&amp;L'!AJ25+'P&amp;L'!AI25),0)</f>
        <v>13.524207471342017</v>
      </c>
      <c r="AM20" s="41">
        <f>IFERROR((Revenue!AM92-Revenue!AJ92)/('P&amp;L'!AL25+'P&amp;L'!AK25+'P&amp;L'!AJ25),0)</f>
        <v>8.9663173615894483</v>
      </c>
      <c r="AN20" s="41">
        <f>IFERROR((Revenue!AN92-Revenue!AK92)/('P&amp;L'!AM25+'P&amp;L'!AL25+'P&amp;L'!AK25),0)</f>
        <v>6.2003594550285337</v>
      </c>
      <c r="AO20" s="41">
        <f>IFERROR((Revenue!AO92-Revenue!AL92)/('P&amp;L'!AN25+'P&amp;L'!AM25+'P&amp;L'!AL25),0)</f>
        <v>-2.9312229453946554</v>
      </c>
      <c r="AP20" s="41">
        <f>IFERROR((Revenue!AP92-Revenue!AM92)/('P&amp;L'!AO25+'P&amp;L'!AN25+'P&amp;L'!AM25),0)</f>
        <v>0</v>
      </c>
      <c r="AQ20" s="41">
        <f>IFERROR((Revenue!AQ92-Revenue!AN92)/('P&amp;L'!AP25+'P&amp;L'!AO25+'P&amp;L'!AN25),0)</f>
        <v>0</v>
      </c>
      <c r="AR20" s="41">
        <f>IFERROR((Revenue!AR92-Revenue!AO92)/('P&amp;L'!AQ25+'P&amp;L'!AP25+'P&amp;L'!AO25),0)</f>
        <v>0</v>
      </c>
      <c r="AS20" s="41">
        <f>IFERROR((Revenue!AS92-Revenue!AP92)/('P&amp;L'!AR25+'P&amp;L'!AQ25+'P&amp;L'!AP25),0)</f>
        <v>0</v>
      </c>
      <c r="AT20" s="41">
        <f>IFERROR((Revenue!AT92-Revenue!AQ92)/('P&amp;L'!AS25+'P&amp;L'!AR25+'P&amp;L'!AQ25),0)</f>
        <v>0</v>
      </c>
      <c r="AU20" s="41">
        <f>IFERROR((Revenue!AU92-Revenue!AR92)/('P&amp;L'!AT25+'P&amp;L'!AS25+'P&amp;L'!AR25),0)</f>
        <v>0</v>
      </c>
      <c r="AV20" s="41">
        <f>IFERROR((Revenue!AV92-Revenue!AS92)/('P&amp;L'!AU25+'P&amp;L'!AT25+'P&amp;L'!AS25),0)</f>
        <v>0</v>
      </c>
      <c r="AW20" s="41">
        <f>IFERROR((Revenue!AW92-Revenue!AT92)/('P&amp;L'!AV25+'P&amp;L'!AU25+'P&amp;L'!AT25),0)</f>
        <v>0</v>
      </c>
      <c r="AX20" s="41">
        <f>IFERROR((Revenue!AX92-Revenue!AU92)/('P&amp;L'!AW25+'P&amp;L'!AV25+'P&amp;L'!AU25),0)</f>
        <v>0</v>
      </c>
      <c r="AY20" s="41">
        <f>IFERROR((Revenue!AY92-Revenue!AV92)/('P&amp;L'!AX25+'P&amp;L'!AW25+'P&amp;L'!AV25),0)</f>
        <v>0</v>
      </c>
      <c r="AZ20" s="41">
        <f>IFERROR((Revenue!AZ92-Revenue!AW92)/('P&amp;L'!AY25+'P&amp;L'!AX25+'P&amp;L'!AW25),0)</f>
        <v>0</v>
      </c>
      <c r="BA20" s="41">
        <f>IFERROR((Revenue!BA92-Revenue!AX92)/('P&amp;L'!AZ25+'P&amp;L'!AY25+'P&amp;L'!AX25),0)</f>
        <v>0</v>
      </c>
      <c r="BB20" s="41">
        <f>IFERROR((Revenue!BB92-Revenue!AY92)/('P&amp;L'!BA25+'P&amp;L'!AZ25+'P&amp;L'!AY25),0)</f>
        <v>0</v>
      </c>
      <c r="BC20" s="41">
        <f>IFERROR((Revenue!BC92-Revenue!AZ92)/('P&amp;L'!BB25+'P&amp;L'!BA25+'P&amp;L'!AZ25),0)</f>
        <v>0</v>
      </c>
      <c r="BD20" s="41">
        <f>IFERROR((Revenue!BD92-Revenue!BA92)/('P&amp;L'!BC25+'P&amp;L'!BB25+'P&amp;L'!BA25),0)</f>
        <v>0</v>
      </c>
      <c r="BE20" s="41">
        <f>IFERROR((Revenue!BE92-Revenue!BB92)/('P&amp;L'!BD25+'P&amp;L'!BC25+'P&amp;L'!BB25),0)</f>
        <v>0</v>
      </c>
      <c r="BF20" s="41">
        <f>IFERROR((Revenue!BF92-Revenue!BC92)/('P&amp;L'!BE25+'P&amp;L'!BD25+'P&amp;L'!BC25),0)</f>
        <v>0</v>
      </c>
      <c r="BG20" s="41">
        <f>IFERROR((Revenue!BG92-Revenue!BD92)/('P&amp;L'!BF25+'P&amp;L'!BE25+'P&amp;L'!BD25),0)</f>
        <v>0</v>
      </c>
      <c r="BH20" s="41">
        <f>IFERROR((Revenue!BH92-Revenue!BE92)/('P&amp;L'!BG25+'P&amp;L'!BF25+'P&amp;L'!BE25),0)</f>
        <v>0</v>
      </c>
      <c r="BI20" s="41">
        <f>IFERROR((Revenue!BI92-Revenue!BF92)/('P&amp;L'!BH25+'P&amp;L'!BG25+'P&amp;L'!BF25),0)</f>
        <v>0</v>
      </c>
      <c r="BJ20" s="41">
        <f>IFERROR((Revenue!BJ92-Revenue!BG92)/('P&amp;L'!BI25+'P&amp;L'!BH25+'P&amp;L'!BG25),0)</f>
        <v>0</v>
      </c>
      <c r="BK20" s="41">
        <f>IFERROR(SUMPRODUCT((YEAR(EDATE(Controls!$B$6,COLUMN($C$1:$BJ$1)-COLUMN($C$1)))=YEAR(Controls!$B$6)+0)*(COLUMN($C$1:$BJ$1)-COLUMN($C$1)&lt;Controls!$B$7)*$C$20:$BJ$20)/SUMPRODUCT((YEAR(EDATE(Controls!$B$6,COLUMN($C$1:$BJ$1)-COLUMN($C$1)))=YEAR(Controls!$B$6)+0)*(COLUMN($C$1:$BJ$1)-COLUMN($C$1)&lt;Controls!$B$7)*1),0)</f>
        <v>3.1623073382868063</v>
      </c>
      <c r="BL20" s="41">
        <f>IFERROR(SUMPRODUCT((YEAR(EDATE(Controls!$B$6,COLUMN($C$1:$BJ$1)-COLUMN($C$1)))=YEAR(Controls!$B$6)+1)*(COLUMN($C$1:$BJ$1)-COLUMN($C$1)&lt;Controls!$B$7)*$C$20:$BJ$20)/SUMPRODUCT((YEAR(EDATE(Controls!$B$6,COLUMN($C$1:$BJ$1)-COLUMN($C$1)))=YEAR(Controls!$B$6)+1)*(COLUMN($C$1:$BJ$1)-COLUMN($C$1)&lt;Controls!$B$7)*1),0)</f>
        <v>6.2268862117765247</v>
      </c>
      <c r="BM20" s="41">
        <f>IFERROR(SUMPRODUCT((YEAR(EDATE(Controls!$B$6,COLUMN($C$1:$BJ$1)-COLUMN($C$1)))=YEAR(Controls!$B$6)+2)*(COLUMN($C$1:$BJ$1)-COLUMN($C$1)&lt;Controls!$B$7)*$C$20:$BJ$20)/SUMPRODUCT((YEAR(EDATE(Controls!$B$6,COLUMN($C$1:$BJ$1)-COLUMN($C$1)))=YEAR(Controls!$B$6)+2)*(COLUMN($C$1:$BJ$1)-COLUMN($C$1)&lt;Controls!$B$7)*1),0)</f>
        <v>10.083900568904708</v>
      </c>
      <c r="BN20" s="41">
        <f>IFERROR(SUMPRODUCT((YEAR(EDATE(Controls!$B$6,COLUMN($C$1:$BJ$1)-COLUMN($C$1)))=YEAR(Controls!$B$6)+3)*(COLUMN($C$1:$BJ$1)-COLUMN($C$1)&lt;Controls!$B$7)*$C$20:$BJ$20)/SUMPRODUCT((YEAR(EDATE(Controls!$B$6,COLUMN($C$1:$BJ$1)-COLUMN($C$1)))=YEAR(Controls!$B$6)+3)*(COLUMN($C$1:$BJ$1)-COLUMN($C$1)&lt;Controls!$B$7)*1),0)</f>
        <v>0</v>
      </c>
      <c r="BO20" s="41">
        <f>IFERROR(SUMPRODUCT((YEAR(EDATE(Controls!$B$6,COLUMN($C$1:$BJ$1)-COLUMN($C$1)))=YEAR(Controls!$B$6)+4)*(COLUMN($C$1:$BJ$1)-COLUMN($C$1)&lt;Controls!$B$7)*$C$20:$BJ$20)/SUMPRODUCT((YEAR(EDATE(Controls!$B$6,COLUMN($C$1:$BJ$1)-COLUMN($C$1)))=YEAR(Controls!$B$6)+4)*(COLUMN($C$1:$BJ$1)-COLUMN($C$1)&lt;Controls!$B$7)*1),0)</f>
        <v>0</v>
      </c>
      <c r="BP20" s="41">
        <f>IFERROR(SUMPRODUCT((YEAR(EDATE(Controls!$B$6,COLUMN($C$1:$BJ$1)-COLUMN($C$1)))=YEAR(Controls!$B$6)+5)*(COLUMN($C$1:$BJ$1)-COLUMN($C$1)&lt;Controls!$B$7)*$C$20:$BJ$20)/SUMPRODUCT((YEAR(EDATE(Controls!$B$6,COLUMN($C$1:$BJ$1)-COLUMN($C$1)))=YEAR(Controls!$B$6)+5)*(COLUMN($C$1:$BJ$1)-COLUMN($C$1)&lt;Controls!$B$7)*1),0)</f>
        <v>0</v>
      </c>
    </row>
    <row r="21" spans="1:68" x14ac:dyDescent="0.35">
      <c r="A21" s="6" t="s">
        <v>380</v>
      </c>
      <c r="B21" s="20" t="s">
        <v>110</v>
      </c>
      <c r="C21" s="27">
        <f t="shared" ref="C21:N21" si="6">C10</f>
        <v>-5.8178992854771137</v>
      </c>
      <c r="D21" s="27">
        <f t="shared" si="6"/>
        <v>-2.5664424670877284</v>
      </c>
      <c r="E21" s="27">
        <f t="shared" si="6"/>
        <v>-1.2247748738633528</v>
      </c>
      <c r="F21" s="27">
        <f t="shared" si="6"/>
        <v>-0.5319034236932183</v>
      </c>
      <c r="G21" s="27">
        <f t="shared" si="6"/>
        <v>-0.11834307491201086</v>
      </c>
      <c r="H21" s="27">
        <f t="shared" si="6"/>
        <v>0.14527109421782339</v>
      </c>
      <c r="I21" s="27">
        <f t="shared" si="6"/>
        <v>0.32527791659006022</v>
      </c>
      <c r="J21" s="27">
        <f t="shared" si="6"/>
        <v>0.45167508316050475</v>
      </c>
      <c r="K21" s="27">
        <f t="shared" si="6"/>
        <v>0.545451608565094</v>
      </c>
      <c r="L21" s="27">
        <f t="shared" si="6"/>
        <v>0.61749746862514421</v>
      </c>
      <c r="M21" s="27">
        <f t="shared" si="6"/>
        <v>0.67357032061993205</v>
      </c>
      <c r="N21" s="27">
        <f t="shared" si="6"/>
        <v>0.71854352549656952</v>
      </c>
      <c r="O21" s="27">
        <f>IFERROR((Revenue!O92-Revenue!C92)/Revenue!C92+O10,0)</f>
        <v>16.014042806238397</v>
      </c>
      <c r="P21" s="27">
        <f>IFERROR((Revenue!P92-Revenue!D92)/Revenue!D92+P10,0)</f>
        <v>8.9710655687492817</v>
      </c>
      <c r="Q21" s="27">
        <f>IFERROR((Revenue!Q92-Revenue!E92)/Revenue!E92+Q10,0)</f>
        <v>6.5746574286070327</v>
      </c>
      <c r="R21" s="27">
        <f>IFERROR((Revenue!R92-Revenue!F92)/Revenue!F92+R10,0)</f>
        <v>5.3745436604477881</v>
      </c>
      <c r="S21" s="27">
        <f>IFERROR((Revenue!S92-Revenue!G92)/Revenue!G92+S10,0)</f>
        <v>4.5943710325624867</v>
      </c>
      <c r="T21" s="27">
        <f>IFERROR((Revenue!T92-Revenue!H92)/Revenue!H92+T10,0)</f>
        <v>4.096709399875083</v>
      </c>
      <c r="U21" s="27">
        <f>IFERROR((Revenue!U92-Revenue!I92)/Revenue!I92+U10,0)</f>
        <v>3.7330984579129076</v>
      </c>
      <c r="V21" s="27">
        <f>IFERROR((Revenue!V92-Revenue!J92)/Revenue!J92+V10,0)</f>
        <v>3.5032151520144668</v>
      </c>
      <c r="W21" s="27">
        <f>IFERROR((Revenue!W92-Revenue!K92)/Revenue!K92+W10,0)</f>
        <v>3.3138513228269</v>
      </c>
      <c r="X21" s="27">
        <f>IFERROR((Revenue!X92-Revenue!L92)/Revenue!L92+X10,0)</f>
        <v>3.151581493912559</v>
      </c>
      <c r="Y21" s="27">
        <f>IFERROR((Revenue!Y92-Revenue!M92)/Revenue!M92+Y10,0)</f>
        <v>3.0277072024972158</v>
      </c>
      <c r="Z21" s="27">
        <f>IFERROR((Revenue!Z92-Revenue!N92)/Revenue!N92+Z10,0)</f>
        <v>2.9185458293849509</v>
      </c>
      <c r="AA21" s="27">
        <f>IFERROR((Revenue!AA92-Revenue!O92)/Revenue!O92+AA10,0)</f>
        <v>2.8079963015435165</v>
      </c>
      <c r="AB21" s="27">
        <f>IFERROR((Revenue!AB92-Revenue!P92)/Revenue!P92+AB10,0)</f>
        <v>2.7286499097899068</v>
      </c>
      <c r="AC21" s="27">
        <f>IFERROR((Revenue!AC92-Revenue!Q92)/Revenue!Q92+AC10,0)</f>
        <v>2.6716409695623562</v>
      </c>
      <c r="AD21" s="27">
        <f>IFERROR((Revenue!AD92-Revenue!R92)/Revenue!R92+AD10,0)</f>
        <v>2.6185896961019348</v>
      </c>
      <c r="AE21" s="27">
        <f>IFERROR((Revenue!AE92-Revenue!S92)/Revenue!S92+AE10,0)</f>
        <v>2.5789103869090964</v>
      </c>
      <c r="AF21" s="27">
        <f>IFERROR((Revenue!AF92-Revenue!T92)/Revenue!T92+AF10,0)</f>
        <v>2.5421529643634049</v>
      </c>
      <c r="AG21" s="27">
        <f>IFERROR((Revenue!AG92-Revenue!U92)/Revenue!U92+AG10,0)</f>
        <v>2.5114369852104388</v>
      </c>
      <c r="AH21" s="27">
        <f>IFERROR((Revenue!AH92-Revenue!V92)/Revenue!V92+AH10,0)</f>
        <v>2.478534083190862</v>
      </c>
      <c r="AI21" s="27">
        <f>IFERROR((Revenue!AI92-Revenue!W92)/Revenue!W92+AI10,0)</f>
        <v>2.4512406683269115</v>
      </c>
      <c r="AJ21" s="27">
        <f>IFERROR((Revenue!AJ92-Revenue!X92)/Revenue!X92+AJ10,0)</f>
        <v>2.4266890679930926</v>
      </c>
      <c r="AK21" s="27">
        <f>IFERROR((Revenue!AK92-Revenue!Y92)/Revenue!Y92+AK10,0)</f>
        <v>2.4060012335644756</v>
      </c>
      <c r="AL21" s="27">
        <f>IFERROR((Revenue!AL92-Revenue!Z92)/Revenue!Z92+AL10,0)</f>
        <v>2.3889602229893021</v>
      </c>
      <c r="AM21" s="27">
        <f>IFERROR((Revenue!AM92-Revenue!AA92)/Revenue!AA92+AM10,0)</f>
        <v>2.2370642847579276</v>
      </c>
      <c r="AN21" s="27">
        <f>IFERROR((Revenue!AN92-Revenue!AB92)/Revenue!AB92+AN10,0)</f>
        <v>2.0595958381404258</v>
      </c>
      <c r="AO21" s="27">
        <f>IFERROR((Revenue!AO92-Revenue!AC92)/Revenue!AC92+AO10,0)</f>
        <v>1.8979995719053426</v>
      </c>
      <c r="AP21" s="27">
        <f>IFERROR((Revenue!AP92-Revenue!AD92)/Revenue!AD92+AP10,0)</f>
        <v>1.7524876603550765</v>
      </c>
      <c r="AQ21" s="27">
        <f>IFERROR((Revenue!AQ92-Revenue!AE92)/Revenue!AE92+AQ10,0)</f>
        <v>1.6197072578232987</v>
      </c>
      <c r="AR21" s="27">
        <f>IFERROR((Revenue!AR92-Revenue!AF92)/Revenue!AF92+AR10,0)</f>
        <v>1.498669066300419</v>
      </c>
      <c r="AS21" s="27">
        <f>IFERROR((Revenue!AS92-Revenue!AG92)/Revenue!AG92+AS10,0)</f>
        <v>1.38806587699926</v>
      </c>
      <c r="AT21" s="27">
        <f>IFERROR((Revenue!AT92-Revenue!AH92)/Revenue!AH92+AT10,0)</f>
        <v>1.2866157240178391</v>
      </c>
      <c r="AU21" s="27">
        <f>IFERROR((Revenue!AU92-Revenue!AI92)/Revenue!AI92+AU10,0)</f>
        <v>1.193267517235685</v>
      </c>
      <c r="AV21" s="27">
        <f>IFERROR((Revenue!AV92-Revenue!AJ92)/Revenue!AJ92+AV10,0)</f>
        <v>1.1081444050434803</v>
      </c>
      <c r="AW21" s="27">
        <f>IFERROR((Revenue!AW92-Revenue!AK92)/Revenue!AK92+AW10,0)</f>
        <v>1.030074691712821</v>
      </c>
      <c r="AX21" s="27">
        <f>IFERROR((Revenue!AX92-Revenue!AL92)/Revenue!AL92+AX10,0)</f>
        <v>0.95816831869871832</v>
      </c>
      <c r="AY21" s="27">
        <f>IFERROR((Revenue!AY92-Revenue!AM92)/Revenue!AM92+AY10,0)</f>
        <v>0.96184419713070546</v>
      </c>
      <c r="AZ21" s="27">
        <f>IFERROR((Revenue!AZ92-Revenue!AN92)/Revenue!AN92+AZ10,0)</f>
        <v>0.96531242935180994</v>
      </c>
      <c r="BA21" s="27">
        <f>IFERROR((Revenue!BA92-Revenue!AO92)/Revenue!AO92+BA10,0)</f>
        <v>0.96875118572599161</v>
      </c>
      <c r="BB21" s="27">
        <f>IFERROR((Revenue!BB92-Revenue!AP92)/Revenue!AP92+BB10,0)</f>
        <v>0.97227453918412354</v>
      </c>
      <c r="BC21" s="27">
        <f>IFERROR((Revenue!BC92-Revenue!AQ92)/Revenue!AQ92+BC10,0)</f>
        <v>0.9757960200146415</v>
      </c>
      <c r="BD21" s="27">
        <f>IFERROR((Revenue!BD92-Revenue!AR92)/Revenue!AR92+BD10,0)</f>
        <v>0.97923677968197764</v>
      </c>
      <c r="BE21" s="27">
        <f>IFERROR((Revenue!BE92-Revenue!AS92)/Revenue!AS92+BE10,0)</f>
        <v>0.98261680860853384</v>
      </c>
      <c r="BF21" s="27">
        <f>IFERROR((Revenue!BF92-Revenue!AT92)/Revenue!AT92+BF10,0)</f>
        <v>0.98616615813095354</v>
      </c>
      <c r="BG21" s="27">
        <f>IFERROR((Revenue!BG92-Revenue!AU92)/Revenue!AU92+BG10,0)</f>
        <v>0.98962253010825785</v>
      </c>
      <c r="BH21" s="27">
        <f>IFERROR((Revenue!BH92-Revenue!AV92)/Revenue!AV92+BH10,0)</f>
        <v>0.99301166203538549</v>
      </c>
      <c r="BI21" s="27">
        <f>IFERROR((Revenue!BI92-Revenue!AW92)/Revenue!AW92+BI10,0)</f>
        <v>0.99589536711425075</v>
      </c>
      <c r="BJ21" s="27">
        <f>IFERROR((Revenue!BJ92-Revenue!AX92)/Revenue!AX92+BJ10,0)</f>
        <v>0.99888209629127367</v>
      </c>
      <c r="BK21" s="27">
        <f>IFERROR(SUMPRODUCT((YEAR(EDATE(Controls!$B$6,COLUMN($C$1:$BJ$1)-COLUMN($C$1)))=YEAR(Controls!$B$6)+0)*(COLUMN($C$1:$BJ$1)-COLUMN($C$1)&lt;Controls!$B$7)*$C$21:$BJ$21)/SUMPRODUCT((YEAR(EDATE(Controls!$B$6,COLUMN($C$1:$BJ$1)-COLUMN($C$1)))=YEAR(Controls!$B$6)+0)*(COLUMN($C$1:$BJ$1)-COLUMN($C$1)&lt;Controls!$B$7)*1),0)</f>
        <v>-0.565173008979858</v>
      </c>
      <c r="BL21" s="27">
        <f>IFERROR(SUMPRODUCT((YEAR(EDATE(Controls!$B$6,COLUMN($C$1:$BJ$1)-COLUMN($C$1)))=YEAR(Controls!$B$6)+1)*(COLUMN($C$1:$BJ$1)-COLUMN($C$1)&lt;Controls!$B$7)*$C$21:$BJ$21)/SUMPRODUCT((YEAR(EDATE(Controls!$B$6,COLUMN($C$1:$BJ$1)-COLUMN($C$1)))=YEAR(Controls!$B$6)+1)*(COLUMN($C$1:$BJ$1)-COLUMN($C$1)&lt;Controls!$B$7)*1),0)</f>
        <v>5.4394491129190889</v>
      </c>
      <c r="BM21" s="27">
        <f>IFERROR(SUMPRODUCT((YEAR(EDATE(Controls!$B$6,COLUMN($C$1:$BJ$1)-COLUMN($C$1)))=YEAR(Controls!$B$6)+2)*(COLUMN($C$1:$BJ$1)-COLUMN($C$1)&lt;Controls!$B$7)*$C$21:$BJ$21)/SUMPRODUCT((YEAR(EDATE(Controls!$B$6,COLUMN($C$1:$BJ$1)-COLUMN($C$1)))=YEAR(Controls!$B$6)+2)*(COLUMN($C$1:$BJ$1)-COLUMN($C$1)&lt;Controls!$B$7)*1),0)</f>
        <v>2.5509002074621079</v>
      </c>
      <c r="BN21" s="27">
        <f>IFERROR(SUMPRODUCT((YEAR(EDATE(Controls!$B$6,COLUMN($C$1:$BJ$1)-COLUMN($C$1)))=YEAR(Controls!$B$6)+3)*(COLUMN($C$1:$BJ$1)-COLUMN($C$1)&lt;Controls!$B$7)*$C$21:$BJ$21)/SUMPRODUCT((YEAR(EDATE(Controls!$B$6,COLUMN($C$1:$BJ$1)-COLUMN($C$1)))=YEAR(Controls!$B$6)+3)*(COLUMN($C$1:$BJ$1)-COLUMN($C$1)&lt;Controls!$B$7)*1),0)</f>
        <v>0</v>
      </c>
      <c r="BO21" s="27">
        <f>IFERROR(SUMPRODUCT((YEAR(EDATE(Controls!$B$6,COLUMN($C$1:$BJ$1)-COLUMN($C$1)))=YEAR(Controls!$B$6)+4)*(COLUMN($C$1:$BJ$1)-COLUMN($C$1)&lt;Controls!$B$7)*$C$21:$BJ$21)/SUMPRODUCT((YEAR(EDATE(Controls!$B$6,COLUMN($C$1:$BJ$1)-COLUMN($C$1)))=YEAR(Controls!$B$6)+4)*(COLUMN($C$1:$BJ$1)-COLUMN($C$1)&lt;Controls!$B$7)*1),0)</f>
        <v>0</v>
      </c>
      <c r="BP21" s="27">
        <f>IFERROR(SUMPRODUCT((YEAR(EDATE(Controls!$B$6,COLUMN($C$1:$BJ$1)-COLUMN($C$1)))=YEAR(Controls!$B$6)+5)*(COLUMN($C$1:$BJ$1)-COLUMN($C$1)&lt;Controls!$B$7)*$C$21:$BJ$21)/SUMPRODUCT((YEAR(EDATE(Controls!$B$6,COLUMN($C$1:$BJ$1)-COLUMN($C$1)))=YEAR(Controls!$B$6)+5)*(COLUMN($C$1:$BJ$1)-COLUMN($C$1)&lt;Controls!$B$7)*1),0)</f>
        <v>0</v>
      </c>
    </row>
    <row r="23" spans="1:68" ht="18" customHeight="1" x14ac:dyDescent="0.35">
      <c r="A23" s="58" t="s">
        <v>381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</row>
    <row r="24" spans="1:68" x14ac:dyDescent="0.35">
      <c r="A24" s="15" t="s">
        <v>382</v>
      </c>
      <c r="C24" s="42" t="s">
        <v>383</v>
      </c>
      <c r="D24" s="43" t="s">
        <v>384</v>
      </c>
      <c r="E24" s="44" t="s">
        <v>385</v>
      </c>
    </row>
    <row r="25" spans="1:68" x14ac:dyDescent="0.35">
      <c r="A25" s="15" t="s">
        <v>386</v>
      </c>
      <c r="C25" s="42" t="s">
        <v>387</v>
      </c>
      <c r="D25" s="43" t="s">
        <v>388</v>
      </c>
      <c r="E25" s="44" t="s">
        <v>389</v>
      </c>
    </row>
    <row r="26" spans="1:68" x14ac:dyDescent="0.35">
      <c r="A26" s="15" t="s">
        <v>390</v>
      </c>
      <c r="C26" s="42" t="s">
        <v>391</v>
      </c>
      <c r="D26" s="43" t="s">
        <v>392</v>
      </c>
      <c r="E26" s="44" t="s">
        <v>393</v>
      </c>
    </row>
    <row r="27" spans="1:68" x14ac:dyDescent="0.35">
      <c r="A27" s="15" t="s">
        <v>394</v>
      </c>
      <c r="C27" s="42" t="s">
        <v>395</v>
      </c>
      <c r="D27" s="43" t="s">
        <v>396</v>
      </c>
      <c r="E27" s="44" t="s">
        <v>397</v>
      </c>
    </row>
    <row r="28" spans="1:68" x14ac:dyDescent="0.35">
      <c r="A28" s="15" t="s">
        <v>398</v>
      </c>
      <c r="C28" s="42" t="s">
        <v>399</v>
      </c>
      <c r="D28" s="43" t="s">
        <v>400</v>
      </c>
      <c r="E28" s="44" t="s">
        <v>401</v>
      </c>
    </row>
  </sheetData>
  <mergeCells count="4">
    <mergeCell ref="A1:BM1"/>
    <mergeCell ref="A4:BP4"/>
    <mergeCell ref="A14:BP14"/>
    <mergeCell ref="A23:BP23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B00-000002000000}">
            <xm:f>COLUMN()-2&gt;Controls!$B$7</xm:f>
            <x14:dxf>
              <fill>
                <patternFill>
                  <bgColor rgb="FFD6DCE4"/>
                </patternFill>
              </fill>
            </x14:dxf>
          </x14:cfRule>
          <xm:sqref>C1:BJ30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Instructions</vt:lpstr>
      <vt:lpstr>Controls</vt:lpstr>
      <vt:lpstr>Revenue</vt:lpstr>
      <vt:lpstr>Charts</vt:lpstr>
      <vt:lpstr>Headcount</vt:lpstr>
      <vt:lpstr>OpEx</vt:lpstr>
      <vt:lpstr>P&amp;L</vt:lpstr>
      <vt:lpstr>Cash Flow</vt:lpstr>
      <vt:lpstr>Balance Sheet</vt:lpstr>
      <vt:lpstr>Annual Summary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Quanthaven Labs, LLC</dc:creator>
  <dc:description/>
  <cp:lastModifiedBy>Haven Chavous</cp:lastModifiedBy>
  <cp:revision>1</cp:revision>
  <dcterms:created xsi:type="dcterms:W3CDTF">2026-04-02T16:16:32Z</dcterms:created>
  <dcterms:modified xsi:type="dcterms:W3CDTF">2026-04-15T11:53:53Z</dcterms:modified>
  <dc:language>en-US</dc:language>
</cp:coreProperties>
</file>